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mé" sheetId="1" r:id="rId1"/>
    <sheet name="Indicateurs de base" sheetId="2" r:id="rId2"/>
    <sheet name="Détail par cluster" sheetId="3" r:id="rId3"/>
    <sheet name="Intervalle de confiance" sheetId="4" r:id="rId4"/>
    <sheet name="IC BKT mini" sheetId="5" r:id="rId5"/>
    <sheet name="Test de croissance" sheetId="6" r:id="rId6"/>
  </sheets>
  <calcPr calcId="124519" fullCalcOnLoad="1"/>
</workbook>
</file>

<file path=xl/sharedStrings.xml><?xml version="1.0" encoding="utf-8"?>
<sst xmlns="http://schemas.openxmlformats.org/spreadsheetml/2006/main" count="245" uniqueCount="66">
  <si>
    <t>BKT final : avec n, Z complet, rognage LOOCV par cluster</t>
  </si>
  <si>
    <t>Quelle confiance accorder au résultat ? BKT observé/extrapolé national avec IC 95% (incertitude de NOTRE méthode, voir le README), et test de significativité de la croissance. 3000 tirages bootstrap par année/comparaison.</t>
  </si>
  <si>
    <t>Année</t>
  </si>
  <si>
    <t>BKT observé</t>
  </si>
  <si>
    <t>BKT_ext (point)</t>
  </si>
  <si>
    <t>% extrapolé</t>
  </si>
  <si>
    <t>Médiane bootstrap</t>
  </si>
  <si>
    <t>IC bas (2.5%)</t>
  </si>
  <si>
    <t>IC haut (97.5%)</t>
  </si>
  <si>
    <t>Largeur relative (%)</t>
  </si>
  <si>
    <t>« % extrapolé » = part du BKT_ext qui vient du taux robuste appliqué au réseau NON observé (BKT_ext - BKT observé) / BKT_ext - le reste est mesure directe.</t>
  </si>
  <si>
    <t>Tous les indicateurs — évolution</t>
  </si>
  <si>
    <t>Valeurs brutes</t>
  </si>
  <si>
    <t>Population</t>
  </si>
  <si>
    <t>N capteurs actifs (standard)</t>
  </si>
  <si>
    <t>N capteurs (panel équilibré)</t>
  </si>
  <si>
    <t>Linéaire FOB (km)</t>
  </si>
  <si>
    <t>Somme des débits (passages/an)</t>
  </si>
  <si>
    <t>Débit / capteur (passages/an)</t>
  </si>
  <si>
    <t>BKT observé (Md km)</t>
  </si>
  <si>
    <t>BKT extrapolé (Md km)</t>
  </si>
  <si>
    <t>BKT mini observé (Md km)</t>
  </si>
  <si>
    <t>BKT mini extrapolé (Md km)</t>
  </si>
  <si>
    <t>Indice base 100 = première année</t>
  </si>
  <si>
    <t>Décomposition par cluster et par métrique</t>
  </si>
  <si>
    <t>Méthode standard (capteurs actifs cette année-là) vs panel équilibré (capteurs présents toute la série, constant). « % extrapolé » = part qui n'est PAS mesurée directement. « Total » = national, recalculé correctement (pas une somme de taux/pourcentages) là où ça a un sens.</t>
  </si>
  <si>
    <t>Somme des débits par cluster (passages/an)</t>
  </si>
  <si>
    <t>Péri-urbain loisirs</t>
  </si>
  <si>
    <t>Domicile travail</t>
  </si>
  <si>
    <t>Tourisme aménagé</t>
  </si>
  <si>
    <t>Tourisme rural</t>
  </si>
  <si>
    <t>Total</t>
  </si>
  <si>
    <t>N capteurs par cluster — méthode standard</t>
  </si>
  <si>
    <t>N capteurs par cluster — panel équilibré (mini)</t>
  </si>
  <si>
    <t>Débit / capteur par cluster (passages/an)</t>
  </si>
  <si>
    <t>Réseau total par cluster (km)</t>
  </si>
  <si>
    <t>Réseau OBSERVÉ par cluster (km)</t>
  </si>
  <si>
    <t>% du réseau extrapolé par cluster</t>
  </si>
  <si>
    <t>Taux robuste par cluster (bike-km / km de réseau non observé)</t>
  </si>
  <si>
    <t>BKT observé par cluster (Md km)</t>
  </si>
  <si>
    <t>BKT extrapolé par cluster (Md km)</t>
  </si>
  <si>
    <t>% du BKT extrapolé par cluster</t>
  </si>
  <si>
    <t>Facteur de croissance du BKT observé par cluster (année N / année N-1)</t>
  </si>
  <si>
    <t>Facteur de croissance du BKT extrapolé par cluster (année N / année N-1)</t>
  </si>
  <si>
    <t>Croissance du BKT extrapolé par cluster, avec IC 95% (bootstrap apparié, communes actives les 2 années)</t>
  </si>
  <si>
    <t>« Ratio médian » = médiane de 3000 tirages bootstrap, PAS le même calcul que le facteur de croissance ci-dessus (un ratio simple des deux points) - les deux peuvent légèrement différer, c'est normal (le rognage n'est pas une moyenne linéaire). Le facteur de croissance ci-dessus est le chiffre officiel ; ce bloc-ci donne son incertitude.</t>
  </si>
  <si>
    <t>Transition</t>
  </si>
  <si>
    <t>Cluster</t>
  </si>
  <si>
    <t>Ratio médian</t>
  </si>
  <si>
    <t>2019 -&gt; 2020</t>
  </si>
  <si>
    <t>Total (national)</t>
  </si>
  <si>
    <t>2020 -&gt; 2021</t>
  </si>
  <si>
    <t>2021 -&gt; 2022</t>
  </si>
  <si>
    <t>2022 -&gt; 2023</t>
  </si>
  <si>
    <t>2023 -&gt; 2024</t>
  </si>
  <si>
    <t>2024 -&gt; 2025</t>
  </si>
  <si>
    <t>2019 -&gt; 2025 (cumulé)</t>
  </si>
  <si>
    <t>Bootstrap à 3000 tirages — standard</t>
  </si>
  <si>
    <t>Rééchantillonnage avec remise des communes actives de chaque cluster, recalcul du taux robuste (rognage LOOCV), application au réseau non observé réel. BKT_obs gardé fixe.</t>
  </si>
  <si>
    <t>BKT extrapolé (point)</t>
  </si>
  <si>
    <t>Bootstrap à 3000 tirages — mini</t>
  </si>
  <si>
    <t>Bootstrap apparié : la croissance est-elle statistiquement significative ?</t>
  </si>
  <si>
    <t>H0 : « pas de croissance » (ratio &lt;= 1). p-value = part des tirages où le ratio tombe à 1 ou en dessous - comparaison appariée, communes actives les deux années.</t>
  </si>
  <si>
    <t>p-value (H0 : pas de croissance)</t>
  </si>
  <si>
    <t>Significatif à 5% ?</t>
  </si>
  <si>
    <t>oui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</si>
</sst>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#,##0"/>
    <numFmt numFmtId="167" formatCode="0.00&quot;×&quot;"/>
    <numFmt numFmtId="168" formatCode="0.0000"/>
  </numFmts>
  <fonts count="8">
    <font>
      <sz val="11"/>
      <color theme="1"/>
      <name val="Calibri"/>
      <family val="2"/>
      <scheme val="minor"/>
    </font>
    <font>
      <b/>
      <sz val="18"/>
      <color rgb="FF17324D"/>
      <name val="Arial"/>
      <family val="2"/>
    </font>
    <font>
      <i/>
      <sz val="10"/>
      <color rgb="FF52514E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rgb="FF52514E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4F3EF"/>
        <bgColor indexed="64"/>
      </patternFill>
    </fill>
  </fills>
  <borders count="3">
    <border>
      <left/>
      <right/>
      <top/>
      <bottom/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/>
      <top/>
      <bottom style="thin">
        <color rgb="FFE1E0D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 indent="1"/>
    </xf>
    <xf numFmtId="166" fontId="5" fillId="0" borderId="2" xfId="0" applyNumberFormat="1" applyFont="1" applyBorder="1" applyAlignment="1">
      <alignment vertical="center"/>
    </xf>
    <xf numFmtId="166" fontId="5" fillId="3" borderId="2" xfId="0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3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8" fontId="5" fillId="0" borderId="2" xfId="0" applyNumberFormat="1" applyFont="1" applyBorder="1" applyAlignment="1">
      <alignment vertical="center"/>
    </xf>
    <xf numFmtId="168" fontId="5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BKT observé et extrapolé national, avec IC 95% (Md km)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Résumé!$B$4</c:f>
              <c:strCache>
                <c:ptCount val="1"/>
                <c:pt idx="0">
                  <c:v>BKT observé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Résumé!$A$5:$A$11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Résumé!$B$5:$B$11</c:f>
              <c:numCache>
                <c:formatCode>General</c:formatCode>
                <c:ptCount val="7"/>
                <c:pt idx="0">
                  <c:v>2.385946319682768</c:v>
                </c:pt>
                <c:pt idx="1">
                  <c:v>3.385851577923911</c:v>
                </c:pt>
                <c:pt idx="2">
                  <c:v>4.944309913307186</c:v>
                </c:pt>
                <c:pt idx="3">
                  <c:v>5.400607107257074</c:v>
                </c:pt>
                <c:pt idx="4">
                  <c:v>5.971576272701522</c:v>
                </c:pt>
                <c:pt idx="5">
                  <c:v>6.302659122402119</c:v>
                </c:pt>
                <c:pt idx="6">
                  <c:v>6.57115227071698</c:v>
                </c:pt>
              </c:numCache>
            </c:numRef>
          </c:val>
        </c:ser>
        <c:ser>
          <c:idx val="1"/>
          <c:order val="1"/>
          <c:tx>
            <c:strRef>
              <c:f>Résumé!$C$4</c:f>
              <c:strCache>
                <c:ptCount val="1"/>
                <c:pt idx="0">
                  <c:v>BKT_ext (point)</c:v>
                </c:pt>
              </c:strCache>
            </c:strRef>
          </c:tx>
          <c:spPr>
            <a:ln w="28575">
              <a:solidFill>
                <a:srgbClr val="17324D"/>
              </a:solidFill>
            </a:ln>
          </c:spPr>
          <c:marker>
            <c:symbol val="circle"/>
            <c:size val="6"/>
            <c:spPr>
              <a:solidFill>
                <a:srgbClr val="17324D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Résumé!$A$5:$A$11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Résumé!$C$5:$C$11</c:f>
              <c:numCache>
                <c:formatCode>General</c:formatCode>
                <c:ptCount val="7"/>
                <c:pt idx="0">
                  <c:v>6.143230950290459</c:v>
                </c:pt>
                <c:pt idx="1">
                  <c:v>7.475248732374852</c:v>
                </c:pt>
                <c:pt idx="2">
                  <c:v>9.717233848988649</c:v>
                </c:pt>
                <c:pt idx="3">
                  <c:v>10.92912376478705</c:v>
                </c:pt>
                <c:pt idx="4">
                  <c:v>11.15299426388145</c:v>
                </c:pt>
                <c:pt idx="5">
                  <c:v>11.3143734780904</c:v>
                </c:pt>
                <c:pt idx="6">
                  <c:v>12.44504462297894</c:v>
                </c:pt>
              </c:numCache>
            </c:numRef>
          </c:val>
        </c:ser>
        <c:ser>
          <c:idx val="2"/>
          <c:order val="2"/>
          <c:tx>
            <c:strRef>
              <c:f>Résumé!$F$4</c:f>
              <c:strCache>
                <c:ptCount val="1"/>
                <c:pt idx="0">
                  <c:v>IC bas (2.5%)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Résumé!$A$5:$A$11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Résumé!$F$5:$F$11</c:f>
              <c:numCache>
                <c:formatCode>General</c:formatCode>
                <c:ptCount val="7"/>
                <c:pt idx="0">
                  <c:v>5.208298603557914</c:v>
                </c:pt>
                <c:pt idx="1">
                  <c:v>7.023413906589061</c:v>
                </c:pt>
                <c:pt idx="2">
                  <c:v>9.180969618837898</c:v>
                </c:pt>
                <c:pt idx="3">
                  <c:v>10.26577036110575</c:v>
                </c:pt>
                <c:pt idx="4">
                  <c:v>10.60169633098008</c:v>
                </c:pt>
                <c:pt idx="5">
                  <c:v>10.81855250490918</c:v>
                </c:pt>
                <c:pt idx="6">
                  <c:v>11.83562224958137</c:v>
                </c:pt>
              </c:numCache>
            </c:numRef>
          </c:val>
        </c:ser>
        <c:ser>
          <c:idx val="3"/>
          <c:order val="3"/>
          <c:tx>
            <c:strRef>
              <c:f>Résumé!$G$4</c:f>
              <c:strCache>
                <c:ptCount val="1"/>
                <c:pt idx="0">
                  <c:v>IC haut (97.5%)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Résumé!$A$5:$A$11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Résumé!$G$5:$G$11</c:f>
              <c:numCache>
                <c:formatCode>General</c:formatCode>
                <c:ptCount val="7"/>
                <c:pt idx="0">
                  <c:v>7.391814331570854</c:v>
                </c:pt>
                <c:pt idx="1">
                  <c:v>8.663725449616447</c:v>
                </c:pt>
                <c:pt idx="2">
                  <c:v>10.71345398083989</c:v>
                </c:pt>
                <c:pt idx="3">
                  <c:v>11.73754053635351</c:v>
                </c:pt>
                <c:pt idx="4">
                  <c:v>11.70396407671071</c:v>
                </c:pt>
                <c:pt idx="5">
                  <c:v>11.95654538170848</c:v>
                </c:pt>
                <c:pt idx="6">
                  <c:v>13.32906582604597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Md km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Tous les indicateurs (indice base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'Indicateurs de base'!$B$14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>
              <a:solidFill>
                <a:srgbClr val="17324D"/>
              </a:solidFill>
            </a:ln>
          </c:spPr>
          <c:marker>
            <c:symbol val="circle"/>
            <c:size val="6"/>
            <c:spPr>
              <a:solidFill>
                <a:srgbClr val="17324D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base'!$B$15:$B$21</c:f>
              <c:numCache>
                <c:formatCode>General</c:formatCode>
                <c:ptCount val="7"/>
                <c:pt idx="0">
                  <c:v>100</c:v>
                </c:pt>
                <c:pt idx="1">
                  <c:v>100.2331978165711</c:v>
                </c:pt>
                <c:pt idx="2">
                  <c:v>100.5736063319988</c:v>
                </c:pt>
                <c:pt idx="3">
                  <c:v>101.1437053678984</c:v>
                </c:pt>
                <c:pt idx="4">
                  <c:v>101.6316167163507</c:v>
                </c:pt>
                <c:pt idx="5">
                  <c:v>101.6316167163507</c:v>
                </c:pt>
                <c:pt idx="6">
                  <c:v>101.6316167163507</c:v>
                </c:pt>
              </c:numCache>
            </c:numRef>
          </c:val>
        </c:ser>
        <c:ser>
          <c:idx val="1"/>
          <c:order val="1"/>
          <c:tx>
            <c:strRef>
              <c:f>'Indicateurs de base'!$C$14</c:f>
              <c:strCache>
                <c:ptCount val="1"/>
                <c:pt idx="0">
                  <c:v>N capteurs actifs (standard)</c:v>
                </c:pt>
              </c:strCache>
            </c:strRef>
          </c:tx>
          <c:spPr>
            <a:ln w="28575">
              <a:solidFill>
                <a:srgbClr val="EB6834"/>
              </a:solidFill>
            </a:ln>
          </c:spPr>
          <c:marker>
            <c:symbol val="circle"/>
            <c:size val="6"/>
            <c:spPr>
              <a:solidFill>
                <a:srgbClr val="EB6834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base'!$C$15:$C$21</c:f>
              <c:numCache>
                <c:formatCode>General</c:formatCode>
                <c:ptCount val="7"/>
                <c:pt idx="0">
                  <c:v>100</c:v>
                </c:pt>
                <c:pt idx="1">
                  <c:v>118.3035714285714</c:v>
                </c:pt>
                <c:pt idx="2">
                  <c:v>159.2261904761905</c:v>
                </c:pt>
                <c:pt idx="3">
                  <c:v>182.5892857142857</c:v>
                </c:pt>
                <c:pt idx="4">
                  <c:v>207.5892857142857</c:v>
                </c:pt>
                <c:pt idx="5">
                  <c:v>208.6309523809524</c:v>
                </c:pt>
                <c:pt idx="6">
                  <c:v>192.1130952380952</c:v>
                </c:pt>
              </c:numCache>
            </c:numRef>
          </c:val>
        </c:ser>
        <c:ser>
          <c:idx val="2"/>
          <c:order val="2"/>
          <c:tx>
            <c:strRef>
              <c:f>'Indicateurs de base'!$D$14</c:f>
              <c:strCache>
                <c:ptCount val="1"/>
                <c:pt idx="0">
                  <c:v>N capteurs (panel équilibré)</c:v>
                </c:pt>
              </c:strCache>
            </c:strRef>
          </c:tx>
          <c:spPr>
            <a:ln w="28575">
              <a:solidFill>
                <a:srgbClr val="8A8A8A"/>
              </a:solidFill>
            </a:ln>
          </c:spPr>
          <c:marker>
            <c:symbol val="circle"/>
            <c:size val="6"/>
            <c:spPr>
              <a:solidFill>
                <a:srgbClr val="8A8A8A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base'!$D$15:$D$21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</c:ser>
        <c:ser>
          <c:idx val="3"/>
          <c:order val="3"/>
          <c:tx>
            <c:strRef>
              <c:f>'Indicateurs de base'!$E$14</c:f>
              <c:strCache>
                <c:ptCount val="1"/>
                <c:pt idx="0">
                  <c:v>Linéaire FOB (km)</c:v>
                </c:pt>
              </c:strCache>
            </c:strRef>
          </c:tx>
          <c:spPr>
            <a:ln w="28575">
              <a:solidFill>
                <a:srgbClr val="EDA100"/>
              </a:solidFill>
            </a:ln>
          </c:spPr>
          <c:marker>
            <c:symbol val="circle"/>
            <c:size val="6"/>
            <c:spPr>
              <a:solidFill>
                <a:srgbClr val="EDA1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base'!$E$15:$E$21</c:f>
              <c:numCache>
                <c:formatCode>General</c:formatCode>
                <c:ptCount val="7"/>
                <c:pt idx="0">
                  <c:v>100</c:v>
                </c:pt>
                <c:pt idx="1">
                  <c:v>111.297574498523</c:v>
                </c:pt>
                <c:pt idx="2">
                  <c:v>120.3514816098288</c:v>
                </c:pt>
                <c:pt idx="3">
                  <c:v>128.5355069056506</c:v>
                </c:pt>
                <c:pt idx="4">
                  <c:v>137.4966893939041</c:v>
                </c:pt>
                <c:pt idx="5">
                  <c:v>146.1251165791182</c:v>
                </c:pt>
                <c:pt idx="6">
                  <c:v>155.3002780589278</c:v>
                </c:pt>
              </c:numCache>
            </c:numRef>
          </c:val>
        </c:ser>
        <c:ser>
          <c:idx val="4"/>
          <c:order val="4"/>
          <c:tx>
            <c:strRef>
              <c:f>'Indicateurs de base'!$F$14</c:f>
              <c:strCache>
                <c:ptCount val="1"/>
                <c:pt idx="0">
                  <c:v>Somme des débits (passages/an)</c:v>
                </c:pt>
              </c:strCache>
            </c:strRef>
          </c:tx>
          <c:spPr>
            <a:ln w="28575">
              <a:solidFill>
                <a:srgbClr val="4A3AA7"/>
              </a:solidFill>
            </a:ln>
          </c:spPr>
          <c:marker>
            <c:symbol val="circle"/>
            <c:size val="6"/>
            <c:spPr>
              <a:solidFill>
                <a:srgbClr val="4A3AA7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base'!$F$15:$F$21</c:f>
              <c:numCache>
                <c:formatCode>General</c:formatCode>
                <c:ptCount val="7"/>
                <c:pt idx="0">
                  <c:v>100</c:v>
                </c:pt>
                <c:pt idx="1">
                  <c:v>152.8099693412677</c:v>
                </c:pt>
                <c:pt idx="2">
                  <c:v>223.8128788258578</c:v>
                </c:pt>
                <c:pt idx="3">
                  <c:v>281.5037131158907</c:v>
                </c:pt>
                <c:pt idx="4">
                  <c:v>316.1957571154076</c:v>
                </c:pt>
                <c:pt idx="5">
                  <c:v>313.426263529735</c:v>
                </c:pt>
                <c:pt idx="6">
                  <c:v>306.5936001771684</c:v>
                </c:pt>
              </c:numCache>
            </c:numRef>
          </c:val>
        </c:ser>
        <c:ser>
          <c:idx val="5"/>
          <c:order val="5"/>
          <c:tx>
            <c:strRef>
              <c:f>'Indicateurs de base'!$G$14</c:f>
              <c:strCache>
                <c:ptCount val="1"/>
                <c:pt idx="0">
                  <c:v>Débit / capteur (passages/an)</c:v>
                </c:pt>
              </c:strCache>
            </c:strRef>
          </c:tx>
          <c:spPr>
            <a:ln w="28575">
              <a:solidFill>
                <a:srgbClr val="C9963C"/>
              </a:solidFill>
            </a:ln>
          </c:spPr>
          <c:marker>
            <c:symbol val="circle"/>
            <c:size val="6"/>
            <c:spPr>
              <a:solidFill>
                <a:srgbClr val="C9963C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base'!$G$15:$G$21</c:f>
              <c:numCache>
                <c:formatCode>General</c:formatCode>
                <c:ptCount val="7"/>
                <c:pt idx="0">
                  <c:v>100</c:v>
                </c:pt>
                <c:pt idx="1">
                  <c:v>129.1676721979017</c:v>
                </c:pt>
                <c:pt idx="2">
                  <c:v>140.5628547392303</c:v>
                </c:pt>
                <c:pt idx="3">
                  <c:v>154.1731827333974</c:v>
                </c:pt>
                <c:pt idx="4">
                  <c:v>152.3179561158092</c:v>
                </c:pt>
                <c:pt idx="5">
                  <c:v>150.2299922196732</c:v>
                </c:pt>
                <c:pt idx="6">
                  <c:v>159.5901621371473</c:v>
                </c:pt>
              </c:numCache>
            </c:numRef>
          </c:val>
        </c:ser>
        <c:ser>
          <c:idx val="6"/>
          <c:order val="6"/>
          <c:tx>
            <c:strRef>
              <c:f>'Indicateurs de base'!$H$14</c:f>
              <c:strCache>
                <c:ptCount val="1"/>
                <c:pt idx="0">
                  <c:v>BKT observé (Md km)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base'!$H$15:$H$21</c:f>
              <c:numCache>
                <c:formatCode>General</c:formatCode>
                <c:ptCount val="7"/>
                <c:pt idx="0">
                  <c:v>100</c:v>
                </c:pt>
                <c:pt idx="1">
                  <c:v>141.9081204800152</c:v>
                </c:pt>
                <c:pt idx="2">
                  <c:v>207.226368528047</c:v>
                </c:pt>
                <c:pt idx="3">
                  <c:v>226.3507381832099</c:v>
                </c:pt>
                <c:pt idx="4">
                  <c:v>250.2812499778073</c:v>
                </c:pt>
                <c:pt idx="5">
                  <c:v>264.1576246040653</c:v>
                </c:pt>
                <c:pt idx="6">
                  <c:v>275.4107339510753</c:v>
                </c:pt>
              </c:numCache>
            </c:numRef>
          </c:val>
        </c:ser>
        <c:ser>
          <c:idx val="7"/>
          <c:order val="7"/>
          <c:tx>
            <c:strRef>
              <c:f>'Indicateurs de base'!$I$14</c:f>
              <c:strCache>
                <c:ptCount val="1"/>
                <c:pt idx="0">
                  <c:v>BKT extrapolé (Md km)</c:v>
                </c:pt>
              </c:strCache>
            </c:strRef>
          </c:tx>
          <c:spPr>
            <a:ln w="28575">
              <a:solidFill>
                <a:srgbClr val="D03B3B"/>
              </a:solidFill>
            </a:ln>
          </c:spPr>
          <c:marker>
            <c:symbol val="circle"/>
            <c:size val="6"/>
            <c:spPr>
              <a:solidFill>
                <a:srgbClr val="D03B3B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base'!$I$15:$I$21</c:f>
              <c:numCache>
                <c:formatCode>General</c:formatCode>
                <c:ptCount val="7"/>
                <c:pt idx="0">
                  <c:v>100</c:v>
                </c:pt>
                <c:pt idx="1">
                  <c:v>121.6826909628298</c:v>
                </c:pt>
                <c:pt idx="2">
                  <c:v>158.1779022735456</c:v>
                </c:pt>
                <c:pt idx="3">
                  <c:v>177.9051423139205</c:v>
                </c:pt>
                <c:pt idx="4">
                  <c:v>181.5493240304457</c:v>
                </c:pt>
                <c:pt idx="5">
                  <c:v>184.1762676618148</c:v>
                </c:pt>
                <c:pt idx="6">
                  <c:v>202.5814221161672</c:v>
                </c:pt>
              </c:numCache>
            </c:numRef>
          </c:val>
        </c:ser>
        <c:ser>
          <c:idx val="8"/>
          <c:order val="8"/>
          <c:tx>
            <c:strRef>
              <c:f>'Indicateurs de base'!$J$14</c:f>
              <c:strCache>
                <c:ptCount val="1"/>
                <c:pt idx="0">
                  <c:v>BKT mini observé (Md km)</c:v>
                </c:pt>
              </c:strCache>
            </c:strRef>
          </c:tx>
          <c:spPr>
            <a:ln w="28575">
              <a:solidFill>
                <a:srgbClr val="7AB8E6"/>
              </a:solidFill>
            </a:ln>
          </c:spPr>
          <c:marker>
            <c:symbol val="circle"/>
            <c:size val="6"/>
            <c:spPr>
              <a:solidFill>
                <a:srgbClr val="7AB8E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base'!$J$15:$J$21</c:f>
              <c:numCache>
                <c:formatCode>General</c:formatCode>
                <c:ptCount val="7"/>
                <c:pt idx="0">
                  <c:v>100</c:v>
                </c:pt>
                <c:pt idx="1">
                  <c:v>102.1874660647072</c:v>
                </c:pt>
                <c:pt idx="2">
                  <c:v>121.4018473572487</c:v>
                </c:pt>
                <c:pt idx="3">
                  <c:v>139.1746632478575</c:v>
                </c:pt>
                <c:pt idx="4">
                  <c:v>143.4072483737342</c:v>
                </c:pt>
                <c:pt idx="5">
                  <c:v>152.4744348940915</c:v>
                </c:pt>
                <c:pt idx="6">
                  <c:v>162.5165839908766</c:v>
                </c:pt>
              </c:numCache>
            </c:numRef>
          </c:val>
        </c:ser>
        <c:ser>
          <c:idx val="9"/>
          <c:order val="9"/>
          <c:tx>
            <c:strRef>
              <c:f>'Indicateurs de base'!$K$14</c:f>
              <c:strCache>
                <c:ptCount val="1"/>
                <c:pt idx="0">
                  <c:v>BKT mini extrapolé (Md km)</c:v>
                </c:pt>
              </c:strCache>
            </c:strRef>
          </c:tx>
          <c:spPr>
            <a:ln w="28575">
              <a:solidFill>
                <a:srgbClr val="E87BA4"/>
              </a:solidFill>
            </a:ln>
          </c:spPr>
          <c:marker>
            <c:symbol val="circle"/>
            <c:size val="6"/>
            <c:spPr>
              <a:solidFill>
                <a:srgbClr val="E87BA4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base'!$K$15:$K$21</c:f>
              <c:numCache>
                <c:formatCode>General</c:formatCode>
                <c:ptCount val="7"/>
                <c:pt idx="0">
                  <c:v>100</c:v>
                </c:pt>
                <c:pt idx="1">
                  <c:v>111.0518518761</c:v>
                </c:pt>
                <c:pt idx="2">
                  <c:v>136.9503805180785</c:v>
                </c:pt>
                <c:pt idx="3">
                  <c:v>160.4555210278384</c:v>
                </c:pt>
                <c:pt idx="4">
                  <c:v>169.2834188814831</c:v>
                </c:pt>
                <c:pt idx="5">
                  <c:v>184.262067951085</c:v>
                </c:pt>
                <c:pt idx="6">
                  <c:v>201.4549592209316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90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indice (première année = 100)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BKT — standard et mini, observé et extrapolé (indice base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'Indicateurs de base'!$H$14</c:f>
              <c:strCache>
                <c:ptCount val="1"/>
                <c:pt idx="0">
                  <c:v>BKT observé (Md km)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base'!$H$15:$H$21</c:f>
              <c:numCache>
                <c:formatCode>General</c:formatCode>
                <c:ptCount val="7"/>
                <c:pt idx="0">
                  <c:v>100</c:v>
                </c:pt>
                <c:pt idx="1">
                  <c:v>141.9081204800152</c:v>
                </c:pt>
                <c:pt idx="2">
                  <c:v>207.226368528047</c:v>
                </c:pt>
                <c:pt idx="3">
                  <c:v>226.3507381832099</c:v>
                </c:pt>
                <c:pt idx="4">
                  <c:v>250.2812499778073</c:v>
                </c:pt>
                <c:pt idx="5">
                  <c:v>264.1576246040653</c:v>
                </c:pt>
                <c:pt idx="6">
                  <c:v>275.4107339510753</c:v>
                </c:pt>
              </c:numCache>
            </c:numRef>
          </c:val>
        </c:ser>
        <c:ser>
          <c:idx val="1"/>
          <c:order val="1"/>
          <c:tx>
            <c:strRef>
              <c:f>'Indicateurs de base'!$I$14</c:f>
              <c:strCache>
                <c:ptCount val="1"/>
                <c:pt idx="0">
                  <c:v>BKT extrapolé (Md km)</c:v>
                </c:pt>
              </c:strCache>
            </c:strRef>
          </c:tx>
          <c:spPr>
            <a:ln w="28575">
              <a:solidFill>
                <a:srgbClr val="D03B3B"/>
              </a:solidFill>
            </a:ln>
          </c:spPr>
          <c:marker>
            <c:symbol val="circle"/>
            <c:size val="6"/>
            <c:spPr>
              <a:solidFill>
                <a:srgbClr val="D03B3B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base'!$I$15:$I$21</c:f>
              <c:numCache>
                <c:formatCode>General</c:formatCode>
                <c:ptCount val="7"/>
                <c:pt idx="0">
                  <c:v>100</c:v>
                </c:pt>
                <c:pt idx="1">
                  <c:v>121.6826909628298</c:v>
                </c:pt>
                <c:pt idx="2">
                  <c:v>158.1779022735456</c:v>
                </c:pt>
                <c:pt idx="3">
                  <c:v>177.9051423139205</c:v>
                </c:pt>
                <c:pt idx="4">
                  <c:v>181.5493240304457</c:v>
                </c:pt>
                <c:pt idx="5">
                  <c:v>184.1762676618148</c:v>
                </c:pt>
                <c:pt idx="6">
                  <c:v>202.5814221161672</c:v>
                </c:pt>
              </c:numCache>
            </c:numRef>
          </c:val>
        </c:ser>
        <c:ser>
          <c:idx val="2"/>
          <c:order val="2"/>
          <c:tx>
            <c:strRef>
              <c:f>'Indicateurs de base'!$J$14</c:f>
              <c:strCache>
                <c:ptCount val="1"/>
                <c:pt idx="0">
                  <c:v>BKT mini observé (Md km)</c:v>
                </c:pt>
              </c:strCache>
            </c:strRef>
          </c:tx>
          <c:spPr>
            <a:ln w="28575">
              <a:solidFill>
                <a:srgbClr val="7AB8E6"/>
              </a:solidFill>
            </a:ln>
          </c:spPr>
          <c:marker>
            <c:symbol val="circle"/>
            <c:size val="6"/>
            <c:spPr>
              <a:solidFill>
                <a:srgbClr val="7AB8E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base'!$J$15:$J$21</c:f>
              <c:numCache>
                <c:formatCode>General</c:formatCode>
                <c:ptCount val="7"/>
                <c:pt idx="0">
                  <c:v>100</c:v>
                </c:pt>
                <c:pt idx="1">
                  <c:v>102.1874660647072</c:v>
                </c:pt>
                <c:pt idx="2">
                  <c:v>121.4018473572487</c:v>
                </c:pt>
                <c:pt idx="3">
                  <c:v>139.1746632478575</c:v>
                </c:pt>
                <c:pt idx="4">
                  <c:v>143.4072483737342</c:v>
                </c:pt>
                <c:pt idx="5">
                  <c:v>152.4744348940915</c:v>
                </c:pt>
                <c:pt idx="6">
                  <c:v>162.5165839908766</c:v>
                </c:pt>
              </c:numCache>
            </c:numRef>
          </c:val>
        </c:ser>
        <c:ser>
          <c:idx val="3"/>
          <c:order val="3"/>
          <c:tx>
            <c:strRef>
              <c:f>'Indicateurs de base'!$K$14</c:f>
              <c:strCache>
                <c:ptCount val="1"/>
                <c:pt idx="0">
                  <c:v>BKT mini extrapolé (Md km)</c:v>
                </c:pt>
              </c:strCache>
            </c:strRef>
          </c:tx>
          <c:spPr>
            <a:ln w="28575">
              <a:solidFill>
                <a:srgbClr val="E87BA4"/>
              </a:solidFill>
            </a:ln>
          </c:spPr>
          <c:marker>
            <c:symbol val="circle"/>
            <c:size val="6"/>
            <c:spPr>
              <a:solidFill>
                <a:srgbClr val="E87BA4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base'!$K$15:$K$21</c:f>
              <c:numCache>
                <c:formatCode>General</c:formatCode>
                <c:ptCount val="7"/>
                <c:pt idx="0">
                  <c:v>100</c:v>
                </c:pt>
                <c:pt idx="1">
                  <c:v>111.0518518761</c:v>
                </c:pt>
                <c:pt idx="2">
                  <c:v>136.9503805180785</c:v>
                </c:pt>
                <c:pt idx="3">
                  <c:v>160.4555210278384</c:v>
                </c:pt>
                <c:pt idx="4">
                  <c:v>169.2834188814831</c:v>
                </c:pt>
                <c:pt idx="5">
                  <c:v>184.262067951085</c:v>
                </c:pt>
                <c:pt idx="6">
                  <c:v>201.4549592209316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90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indice (première année = 100)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Population, capteurs, réseau, débit (indice base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'Indicateurs de base'!$B$14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>
              <a:solidFill>
                <a:srgbClr val="17324D"/>
              </a:solidFill>
            </a:ln>
          </c:spPr>
          <c:marker>
            <c:symbol val="circle"/>
            <c:size val="6"/>
            <c:spPr>
              <a:solidFill>
                <a:srgbClr val="17324D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base'!$B$15:$B$21</c:f>
              <c:numCache>
                <c:formatCode>General</c:formatCode>
                <c:ptCount val="7"/>
                <c:pt idx="0">
                  <c:v>100</c:v>
                </c:pt>
                <c:pt idx="1">
                  <c:v>100.2331978165711</c:v>
                </c:pt>
                <c:pt idx="2">
                  <c:v>100.5736063319988</c:v>
                </c:pt>
                <c:pt idx="3">
                  <c:v>101.1437053678984</c:v>
                </c:pt>
                <c:pt idx="4">
                  <c:v>101.6316167163507</c:v>
                </c:pt>
                <c:pt idx="5">
                  <c:v>101.6316167163507</c:v>
                </c:pt>
                <c:pt idx="6">
                  <c:v>101.6316167163507</c:v>
                </c:pt>
              </c:numCache>
            </c:numRef>
          </c:val>
        </c:ser>
        <c:ser>
          <c:idx val="1"/>
          <c:order val="1"/>
          <c:tx>
            <c:strRef>
              <c:f>'Indicateurs de base'!$C$14</c:f>
              <c:strCache>
                <c:ptCount val="1"/>
                <c:pt idx="0">
                  <c:v>N capteurs actifs (standard)</c:v>
                </c:pt>
              </c:strCache>
            </c:strRef>
          </c:tx>
          <c:spPr>
            <a:ln w="28575">
              <a:solidFill>
                <a:srgbClr val="EB6834"/>
              </a:solidFill>
            </a:ln>
          </c:spPr>
          <c:marker>
            <c:symbol val="circle"/>
            <c:size val="6"/>
            <c:spPr>
              <a:solidFill>
                <a:srgbClr val="EB6834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base'!$C$15:$C$21</c:f>
              <c:numCache>
                <c:formatCode>General</c:formatCode>
                <c:ptCount val="7"/>
                <c:pt idx="0">
                  <c:v>100</c:v>
                </c:pt>
                <c:pt idx="1">
                  <c:v>118.3035714285714</c:v>
                </c:pt>
                <c:pt idx="2">
                  <c:v>159.2261904761905</c:v>
                </c:pt>
                <c:pt idx="3">
                  <c:v>182.5892857142857</c:v>
                </c:pt>
                <c:pt idx="4">
                  <c:v>207.5892857142857</c:v>
                </c:pt>
                <c:pt idx="5">
                  <c:v>208.6309523809524</c:v>
                </c:pt>
                <c:pt idx="6">
                  <c:v>192.1130952380952</c:v>
                </c:pt>
              </c:numCache>
            </c:numRef>
          </c:val>
        </c:ser>
        <c:ser>
          <c:idx val="2"/>
          <c:order val="2"/>
          <c:tx>
            <c:strRef>
              <c:f>'Indicateurs de base'!$D$14</c:f>
              <c:strCache>
                <c:ptCount val="1"/>
                <c:pt idx="0">
                  <c:v>N capteurs (panel équilibré)</c:v>
                </c:pt>
              </c:strCache>
            </c:strRef>
          </c:tx>
          <c:spPr>
            <a:ln w="28575">
              <a:solidFill>
                <a:srgbClr val="8A8A8A"/>
              </a:solidFill>
            </a:ln>
          </c:spPr>
          <c:marker>
            <c:symbol val="circle"/>
            <c:size val="6"/>
            <c:spPr>
              <a:solidFill>
                <a:srgbClr val="8A8A8A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base'!$D$15:$D$21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</c:ser>
        <c:ser>
          <c:idx val="3"/>
          <c:order val="3"/>
          <c:tx>
            <c:strRef>
              <c:f>'Indicateurs de base'!$E$14</c:f>
              <c:strCache>
                <c:ptCount val="1"/>
                <c:pt idx="0">
                  <c:v>Linéaire FOB (km)</c:v>
                </c:pt>
              </c:strCache>
            </c:strRef>
          </c:tx>
          <c:spPr>
            <a:ln w="28575">
              <a:solidFill>
                <a:srgbClr val="EDA100"/>
              </a:solidFill>
            </a:ln>
          </c:spPr>
          <c:marker>
            <c:symbol val="circle"/>
            <c:size val="6"/>
            <c:spPr>
              <a:solidFill>
                <a:srgbClr val="EDA1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base'!$E$15:$E$21</c:f>
              <c:numCache>
                <c:formatCode>General</c:formatCode>
                <c:ptCount val="7"/>
                <c:pt idx="0">
                  <c:v>100</c:v>
                </c:pt>
                <c:pt idx="1">
                  <c:v>111.297574498523</c:v>
                </c:pt>
                <c:pt idx="2">
                  <c:v>120.3514816098288</c:v>
                </c:pt>
                <c:pt idx="3">
                  <c:v>128.5355069056506</c:v>
                </c:pt>
                <c:pt idx="4">
                  <c:v>137.4966893939041</c:v>
                </c:pt>
                <c:pt idx="5">
                  <c:v>146.1251165791182</c:v>
                </c:pt>
                <c:pt idx="6">
                  <c:v>155.3002780589278</c:v>
                </c:pt>
              </c:numCache>
            </c:numRef>
          </c:val>
        </c:ser>
        <c:ser>
          <c:idx val="4"/>
          <c:order val="4"/>
          <c:tx>
            <c:strRef>
              <c:f>'Indicateurs de base'!$F$14</c:f>
              <c:strCache>
                <c:ptCount val="1"/>
                <c:pt idx="0">
                  <c:v>Somme des débits (passages/an)</c:v>
                </c:pt>
              </c:strCache>
            </c:strRef>
          </c:tx>
          <c:spPr>
            <a:ln w="28575">
              <a:solidFill>
                <a:srgbClr val="4A3AA7"/>
              </a:solidFill>
            </a:ln>
          </c:spPr>
          <c:marker>
            <c:symbol val="circle"/>
            <c:size val="6"/>
            <c:spPr>
              <a:solidFill>
                <a:srgbClr val="4A3AA7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base'!$F$15:$F$21</c:f>
              <c:numCache>
                <c:formatCode>General</c:formatCode>
                <c:ptCount val="7"/>
                <c:pt idx="0">
                  <c:v>100</c:v>
                </c:pt>
                <c:pt idx="1">
                  <c:v>152.8099693412677</c:v>
                </c:pt>
                <c:pt idx="2">
                  <c:v>223.8128788258578</c:v>
                </c:pt>
                <c:pt idx="3">
                  <c:v>281.5037131158907</c:v>
                </c:pt>
                <c:pt idx="4">
                  <c:v>316.1957571154076</c:v>
                </c:pt>
                <c:pt idx="5">
                  <c:v>313.426263529735</c:v>
                </c:pt>
                <c:pt idx="6">
                  <c:v>306.5936001771684</c:v>
                </c:pt>
              </c:numCache>
            </c:numRef>
          </c:val>
        </c:ser>
        <c:ser>
          <c:idx val="5"/>
          <c:order val="5"/>
          <c:tx>
            <c:strRef>
              <c:f>'Indicateurs de base'!$G$14</c:f>
              <c:strCache>
                <c:ptCount val="1"/>
                <c:pt idx="0">
                  <c:v>Débit / capteur (passages/an)</c:v>
                </c:pt>
              </c:strCache>
            </c:strRef>
          </c:tx>
          <c:spPr>
            <a:ln w="28575">
              <a:solidFill>
                <a:srgbClr val="C9963C"/>
              </a:solidFill>
            </a:ln>
          </c:spPr>
          <c:marker>
            <c:symbol val="circle"/>
            <c:size val="6"/>
            <c:spPr>
              <a:solidFill>
                <a:srgbClr val="C9963C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'Indicateurs de base'!$A$15:$A$21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'Indicateurs de base'!$G$15:$G$21</c:f>
              <c:numCache>
                <c:formatCode>General</c:formatCode>
                <c:ptCount val="7"/>
                <c:pt idx="0">
                  <c:v>100</c:v>
                </c:pt>
                <c:pt idx="1">
                  <c:v>129.1676721979017</c:v>
                </c:pt>
                <c:pt idx="2">
                  <c:v>140.5628547392303</c:v>
                </c:pt>
                <c:pt idx="3">
                  <c:v>154.1731827333974</c:v>
                </c:pt>
                <c:pt idx="4">
                  <c:v>152.3179561158092</c:v>
                </c:pt>
                <c:pt idx="5">
                  <c:v>150.2299922196732</c:v>
                </c:pt>
                <c:pt idx="6">
                  <c:v>159.5901621371473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90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indice (première année = 100)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BKT — standard, avec IC 95% (Md km)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'Intervalle de confiance'!$B$4</c:f>
              <c:strCache>
                <c:ptCount val="1"/>
                <c:pt idx="0">
                  <c:v>BKT observé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'Intervalle de confiance'!$A$5:$A$11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'Intervalle de confiance'!$B$5:$B$11</c:f>
              <c:numCache>
                <c:formatCode>General</c:formatCode>
                <c:ptCount val="7"/>
                <c:pt idx="0">
                  <c:v>2.385946319682768</c:v>
                </c:pt>
                <c:pt idx="1">
                  <c:v>3.385851577923911</c:v>
                </c:pt>
                <c:pt idx="2">
                  <c:v>4.944309913307186</c:v>
                </c:pt>
                <c:pt idx="3">
                  <c:v>5.400607107257074</c:v>
                </c:pt>
                <c:pt idx="4">
                  <c:v>5.971576272701522</c:v>
                </c:pt>
                <c:pt idx="5">
                  <c:v>6.302659122402119</c:v>
                </c:pt>
                <c:pt idx="6">
                  <c:v>6.57115227071698</c:v>
                </c:pt>
              </c:numCache>
            </c:numRef>
          </c:val>
        </c:ser>
        <c:ser>
          <c:idx val="1"/>
          <c:order val="1"/>
          <c:tx>
            <c:strRef>
              <c:f>'Intervalle de confiance'!$C$4</c:f>
              <c:strCache>
                <c:ptCount val="1"/>
                <c:pt idx="0">
                  <c:v>BKT extrapolé (point)</c:v>
                </c:pt>
              </c:strCache>
            </c:strRef>
          </c:tx>
          <c:spPr>
            <a:ln w="28575">
              <a:solidFill>
                <a:srgbClr val="D03B3B"/>
              </a:solidFill>
            </a:ln>
          </c:spPr>
          <c:marker>
            <c:symbol val="circle"/>
            <c:size val="6"/>
            <c:spPr>
              <a:solidFill>
                <a:srgbClr val="D03B3B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'Intervalle de confiance'!$A$5:$A$11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'Intervalle de confiance'!$C$5:$C$11</c:f>
              <c:numCache>
                <c:formatCode>General</c:formatCode>
                <c:ptCount val="7"/>
                <c:pt idx="0">
                  <c:v>6.143230950290459</c:v>
                </c:pt>
                <c:pt idx="1">
                  <c:v>7.475248732374852</c:v>
                </c:pt>
                <c:pt idx="2">
                  <c:v>9.717233848988649</c:v>
                </c:pt>
                <c:pt idx="3">
                  <c:v>10.92912376478705</c:v>
                </c:pt>
                <c:pt idx="4">
                  <c:v>11.15299426388145</c:v>
                </c:pt>
                <c:pt idx="5">
                  <c:v>11.3143734780904</c:v>
                </c:pt>
                <c:pt idx="6">
                  <c:v>12.44504462297894</c:v>
                </c:pt>
              </c:numCache>
            </c:numRef>
          </c:val>
        </c:ser>
        <c:ser>
          <c:idx val="2"/>
          <c:order val="2"/>
          <c:tx>
            <c:strRef>
              <c:f>'Intervalle de confiance'!$E$4</c:f>
              <c:strCache>
                <c:ptCount val="1"/>
                <c:pt idx="0">
                  <c:v>IC bas (2.5%)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'Intervalle de confiance'!$A$5:$A$11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'Intervalle de confiance'!$E$5:$E$11</c:f>
              <c:numCache>
                <c:formatCode>General</c:formatCode>
                <c:ptCount val="7"/>
                <c:pt idx="0">
                  <c:v>5.208298603557914</c:v>
                </c:pt>
                <c:pt idx="1">
                  <c:v>7.023413906589061</c:v>
                </c:pt>
                <c:pt idx="2">
                  <c:v>9.180969618837898</c:v>
                </c:pt>
                <c:pt idx="3">
                  <c:v>10.26577036110575</c:v>
                </c:pt>
                <c:pt idx="4">
                  <c:v>10.60169633098008</c:v>
                </c:pt>
                <c:pt idx="5">
                  <c:v>10.81855250490918</c:v>
                </c:pt>
                <c:pt idx="6">
                  <c:v>11.83562224958137</c:v>
                </c:pt>
              </c:numCache>
            </c:numRef>
          </c:val>
        </c:ser>
        <c:ser>
          <c:idx val="3"/>
          <c:order val="3"/>
          <c:tx>
            <c:strRef>
              <c:f>'Intervalle de confiance'!$F$4</c:f>
              <c:strCache>
                <c:ptCount val="1"/>
                <c:pt idx="0">
                  <c:v>IC haut (97.5%)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'Intervalle de confiance'!$A$5:$A$11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'Intervalle de confiance'!$F$5:$F$11</c:f>
              <c:numCache>
                <c:formatCode>General</c:formatCode>
                <c:ptCount val="7"/>
                <c:pt idx="0">
                  <c:v>7.391814331570854</c:v>
                </c:pt>
                <c:pt idx="1">
                  <c:v>8.663725449616447</c:v>
                </c:pt>
                <c:pt idx="2">
                  <c:v>10.71345398083989</c:v>
                </c:pt>
                <c:pt idx="3">
                  <c:v>11.73754053635351</c:v>
                </c:pt>
                <c:pt idx="4">
                  <c:v>11.70396407671071</c:v>
                </c:pt>
                <c:pt idx="5">
                  <c:v>11.95654538170848</c:v>
                </c:pt>
                <c:pt idx="6">
                  <c:v>13.32906582604597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Md km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7324D"/>
                </a:solidFill>
                <a:latin typeface="Arial"/>
              </a:defRPr>
            </a:pPr>
            <a:r>
              <a:rPr lang="en-US" sz="1200" b="1" baseline="0">
                <a:solidFill>
                  <a:srgbClr val="17324D"/>
                </a:solidFill>
                <a:latin typeface="Arial"/>
              </a:rPr>
              <a:t>BKT — mini, avec IC 95% (Md km)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'IC BKT mini'!$B$4</c:f>
              <c:strCache>
                <c:ptCount val="1"/>
                <c:pt idx="0">
                  <c:v>BKT observé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'IC BKT mini'!$A$5:$A$11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'IC BKT mini'!$B$5:$B$11</c:f>
              <c:numCache>
                <c:formatCode>General</c:formatCode>
                <c:ptCount val="7"/>
                <c:pt idx="0">
                  <c:v>2.116611924380963</c:v>
                </c:pt>
                <c:pt idx="1">
                  <c:v>2.162912091948343</c:v>
                </c:pt>
                <c:pt idx="2">
                  <c:v>2.569605977582302</c:v>
                </c:pt>
                <c:pt idx="3">
                  <c:v>2.945787518021201</c:v>
                </c:pt>
                <c:pt idx="4">
                  <c:v>3.035374919505082</c:v>
                </c:pt>
                <c:pt idx="5">
                  <c:v>3.227292070600828</c:v>
                </c:pt>
                <c:pt idx="6">
                  <c:v>3.439845395847497</c:v>
                </c:pt>
              </c:numCache>
            </c:numRef>
          </c:val>
        </c:ser>
        <c:ser>
          <c:idx val="1"/>
          <c:order val="1"/>
          <c:tx>
            <c:strRef>
              <c:f>'IC BKT mini'!$C$4</c:f>
              <c:strCache>
                <c:ptCount val="1"/>
                <c:pt idx="0">
                  <c:v>BKT extrapolé (point)</c:v>
                </c:pt>
              </c:strCache>
            </c:strRef>
          </c:tx>
          <c:spPr>
            <a:ln w="28575">
              <a:solidFill>
                <a:srgbClr val="D03B3B"/>
              </a:solidFill>
            </a:ln>
          </c:spPr>
          <c:marker>
            <c:symbol val="circle"/>
            <c:size val="6"/>
            <c:spPr>
              <a:solidFill>
                <a:srgbClr val="D03B3B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'IC BKT mini'!$A$5:$A$11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'IC BKT mini'!$C$5:$C$11</c:f>
              <c:numCache>
                <c:formatCode>General</c:formatCode>
                <c:ptCount val="7"/>
                <c:pt idx="0">
                  <c:v>6.368498772724185</c:v>
                </c:pt>
                <c:pt idx="1">
                  <c:v>7.072335823816909</c:v>
                </c:pt>
                <c:pt idx="2">
                  <c:v>8.721683302534933</c:v>
                </c:pt>
                <c:pt idx="3">
                  <c:v>10.21860788742608</c:v>
                </c:pt>
                <c:pt idx="4">
                  <c:v>10.78081245389279</c:v>
                </c:pt>
                <c:pt idx="5">
                  <c:v>11.73472753606105</c:v>
                </c:pt>
                <c:pt idx="6">
                  <c:v>12.82965660557703</c:v>
                </c:pt>
              </c:numCache>
            </c:numRef>
          </c:val>
        </c:ser>
        <c:ser>
          <c:idx val="2"/>
          <c:order val="2"/>
          <c:tx>
            <c:strRef>
              <c:f>'IC BKT mini'!$E$4</c:f>
              <c:strCache>
                <c:ptCount val="1"/>
                <c:pt idx="0">
                  <c:v>IC bas (2.5%)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'IC BKT mini'!$A$5:$A$11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'IC BKT mini'!$E$5:$E$11</c:f>
              <c:numCache>
                <c:formatCode>General</c:formatCode>
                <c:ptCount val="7"/>
                <c:pt idx="0">
                  <c:v>5.318314535935588</c:v>
                </c:pt>
                <c:pt idx="1">
                  <c:v>6.127251718810293</c:v>
                </c:pt>
                <c:pt idx="2">
                  <c:v>7.446444887635611</c:v>
                </c:pt>
                <c:pt idx="3">
                  <c:v>8.65695811689565</c:v>
                </c:pt>
                <c:pt idx="4">
                  <c:v>9.240434271191209</c:v>
                </c:pt>
                <c:pt idx="5">
                  <c:v>9.49491945667322</c:v>
                </c:pt>
                <c:pt idx="6">
                  <c:v>10.5238669995191</c:v>
                </c:pt>
              </c:numCache>
            </c:numRef>
          </c:val>
        </c:ser>
        <c:ser>
          <c:idx val="3"/>
          <c:order val="3"/>
          <c:tx>
            <c:strRef>
              <c:f>'IC BKT mini'!$F$4</c:f>
              <c:strCache>
                <c:ptCount val="1"/>
                <c:pt idx="0">
                  <c:v>IC haut (97.5%)</c:v>
                </c:pt>
              </c:strCache>
            </c:strRef>
          </c:tx>
          <c:spPr>
            <a:ln w="19050">
              <a:solidFill>
                <a:srgbClr val="C9C7C1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9C7C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'IC BKT mini'!$A$5:$A$11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'IC BKT mini'!$F$5:$F$11</c:f>
              <c:numCache>
                <c:formatCode>General</c:formatCode>
                <c:ptCount val="7"/>
                <c:pt idx="0">
                  <c:v>7.965806011537956</c:v>
                </c:pt>
                <c:pt idx="1">
                  <c:v>8.934792828135871</c:v>
                </c:pt>
                <c:pt idx="2">
                  <c:v>11.05740815966242</c:v>
                </c:pt>
                <c:pt idx="3">
                  <c:v>12.9431131228473</c:v>
                </c:pt>
                <c:pt idx="4">
                  <c:v>13.74080490631374</c:v>
                </c:pt>
                <c:pt idx="5">
                  <c:v>14.59403780036922</c:v>
                </c:pt>
                <c:pt idx="6">
                  <c:v>16.27282148807697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Année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 w="9525">
              <a:solidFill>
                <a:srgbClr val="E1E0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2514E"/>
                    </a:solidFill>
                    <a:latin typeface="Arial"/>
                  </a:defRPr>
                </a:pPr>
                <a:r>
                  <a:rPr lang="en-US" sz="900" baseline="0">
                    <a:solidFill>
                      <a:srgbClr val="52514E"/>
                    </a:solidFill>
                    <a:latin typeface="Arial"/>
                  </a:rPr>
                  <a:t>Md km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1E0DA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800100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590550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590550</xdr:colOff>
      <xdr:row>67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8</xdr:col>
      <xdr:colOff>590550</xdr:colOff>
      <xdr:row>91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266700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266700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</sheetPr>
  <dimension ref="A1:I12"/>
  <sheetViews>
    <sheetView showGridLines="0" tabSelected="1" zoomScale="90" zoomScaleNormal="90" workbookViewId="0"/>
  </sheetViews>
  <sheetFormatPr defaultRowHeight="15"/>
  <cols>
    <col min="1" max="1" width="9.7109375" customWidth="1"/>
    <col min="2" max="8" width="16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9">
      <c r="A5" s="4">
        <v>2019</v>
      </c>
      <c r="B5" s="5">
        <v>2.385946319682768</v>
      </c>
      <c r="C5" s="5">
        <v>6.143230950290459</v>
      </c>
      <c r="D5" s="6">
        <v>61.16137682289223</v>
      </c>
      <c r="E5" s="5">
        <v>6.178380717922481</v>
      </c>
      <c r="F5" s="5">
        <v>5.208298603557914</v>
      </c>
      <c r="G5" s="5">
        <v>7.391814331570854</v>
      </c>
      <c r="H5" s="6">
        <v>35.34122980927535</v>
      </c>
    </row>
    <row r="6" spans="1:9">
      <c r="A6" s="7">
        <v>2020</v>
      </c>
      <c r="B6" s="8">
        <v>3.385851577923911</v>
      </c>
      <c r="C6" s="8">
        <v>7.475248732374852</v>
      </c>
      <c r="D6" s="9">
        <v>54.70583389071735</v>
      </c>
      <c r="E6" s="8">
        <v>7.573981689278407</v>
      </c>
      <c r="F6" s="8">
        <v>7.023413906589061</v>
      </c>
      <c r="G6" s="8">
        <v>8.663725449616447</v>
      </c>
      <c r="H6" s="9">
        <v>21.65718918160816</v>
      </c>
    </row>
    <row r="7" spans="1:9">
      <c r="A7" s="4">
        <v>2021</v>
      </c>
      <c r="B7" s="5">
        <v>4.944309913307186</v>
      </c>
      <c r="C7" s="5">
        <v>9.717233848988649</v>
      </c>
      <c r="D7" s="6">
        <v>49.11813392427743</v>
      </c>
      <c r="E7" s="5">
        <v>9.7940526139999</v>
      </c>
      <c r="F7" s="5">
        <v>9.180969618837898</v>
      </c>
      <c r="G7" s="5">
        <v>10.71345398083989</v>
      </c>
      <c r="H7" s="6">
        <v>15.64709137677508</v>
      </c>
    </row>
    <row r="8" spans="1:9">
      <c r="A8" s="7">
        <v>2022</v>
      </c>
      <c r="B8" s="8">
        <v>5.400607107257074</v>
      </c>
      <c r="C8" s="8">
        <v>10.92912376478705</v>
      </c>
      <c r="D8" s="9">
        <v>50.58517751754727</v>
      </c>
      <c r="E8" s="8">
        <v>10.91984703212976</v>
      </c>
      <c r="F8" s="8">
        <v>10.26577036110575</v>
      </c>
      <c r="G8" s="8">
        <v>11.73754053635351</v>
      </c>
      <c r="H8" s="9">
        <v>13.47793765716072</v>
      </c>
    </row>
    <row r="9" spans="1:9">
      <c r="A9" s="4">
        <v>2023</v>
      </c>
      <c r="B9" s="5">
        <v>5.971576272701522</v>
      </c>
      <c r="C9" s="5">
        <v>11.15299426388145</v>
      </c>
      <c r="D9" s="6">
        <v>46.45764059934788</v>
      </c>
      <c r="E9" s="5">
        <v>11.1571945785335</v>
      </c>
      <c r="F9" s="5">
        <v>10.60169633098008</v>
      </c>
      <c r="G9" s="5">
        <v>11.70396407671071</v>
      </c>
      <c r="H9" s="6">
        <v>9.879434637192739</v>
      </c>
    </row>
    <row r="10" spans="1:9">
      <c r="A10" s="7">
        <v>2024</v>
      </c>
      <c r="B10" s="8">
        <v>6.302659122402119</v>
      </c>
      <c r="C10" s="8">
        <v>11.3143734780904</v>
      </c>
      <c r="D10" s="9">
        <v>44.29511157107519</v>
      </c>
      <c r="E10" s="8">
        <v>11.34807196445059</v>
      </c>
      <c r="F10" s="8">
        <v>10.81855250490918</v>
      </c>
      <c r="G10" s="8">
        <v>11.95654538170848</v>
      </c>
      <c r="H10" s="9">
        <v>10.02807243701143</v>
      </c>
    </row>
    <row r="11" spans="1:9">
      <c r="A11" s="4">
        <v>2025</v>
      </c>
      <c r="B11" s="5">
        <v>6.57115227071698</v>
      </c>
      <c r="C11" s="5">
        <v>12.44504462297894</v>
      </c>
      <c r="D11" s="6">
        <v>47.19864436175835</v>
      </c>
      <c r="E11" s="5">
        <v>12.50364684742553</v>
      </c>
      <c r="F11" s="5">
        <v>11.83562224958137</v>
      </c>
      <c r="G11" s="5">
        <v>13.32906582604597</v>
      </c>
      <c r="H11" s="6">
        <v>11.94406395740534</v>
      </c>
    </row>
    <row r="12" spans="1:9" ht="28" customHeight="1">
      <c r="A12" s="10" t="s">
        <v>10</v>
      </c>
      <c r="B12" s="10"/>
      <c r="C12" s="10"/>
      <c r="D12" s="10"/>
      <c r="E12" s="10"/>
      <c r="F12" s="10"/>
      <c r="G12" s="10"/>
      <c r="H12" s="10"/>
    </row>
  </sheetData>
  <mergeCells count="3">
    <mergeCell ref="A1:I1"/>
    <mergeCell ref="A2:I2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B6834"/>
  </sheetPr>
  <dimension ref="A1:K21"/>
  <sheetViews>
    <sheetView showGridLines="0" zoomScale="90" zoomScaleNormal="90" workbookViewId="0"/>
  </sheetViews>
  <sheetFormatPr defaultRowHeight="15"/>
  <cols>
    <col min="1" max="1" width="9.7109375" customWidth="1"/>
    <col min="2" max="11" width="15.7109375" customWidth="1"/>
  </cols>
  <sheetData>
    <row r="1" spans="1:11" ht="30" customHeight="1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11">
      <c r="A3" s="11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30" customHeight="1">
      <c r="A4" s="3" t="s">
        <v>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spans="1:11">
      <c r="A5" s="4">
        <v>2019</v>
      </c>
      <c r="B5" s="12">
        <v>68229198</v>
      </c>
      <c r="C5" s="12">
        <v>672</v>
      </c>
      <c r="D5" s="12">
        <v>489</v>
      </c>
      <c r="E5" s="12">
        <v>86667.02607126937</v>
      </c>
      <c r="F5" s="12">
        <v>73608186.65039062</v>
      </c>
      <c r="G5" s="12">
        <v>109535.9920392718</v>
      </c>
      <c r="H5" s="5">
        <v>2.385946319682768</v>
      </c>
      <c r="I5" s="5">
        <v>6.143230950290459</v>
      </c>
      <c r="J5" s="5">
        <v>2.116611924380963</v>
      </c>
      <c r="K5" s="5">
        <v>6.368498772724185</v>
      </c>
    </row>
    <row r="6" spans="1:11">
      <c r="A6" s="7">
        <v>2020</v>
      </c>
      <c r="B6" s="13">
        <v>68388307</v>
      </c>
      <c r="C6" s="13">
        <v>795</v>
      </c>
      <c r="D6" s="13">
        <v>489</v>
      </c>
      <c r="E6" s="13">
        <v>96458.29790732537</v>
      </c>
      <c r="F6" s="13">
        <v>112480647.453125</v>
      </c>
      <c r="G6" s="13">
        <v>141485.0911360063</v>
      </c>
      <c r="H6" s="8">
        <v>3.385851577923911</v>
      </c>
      <c r="I6" s="8">
        <v>7.475248732374852</v>
      </c>
      <c r="J6" s="8">
        <v>2.162912091948343</v>
      </c>
      <c r="K6" s="8">
        <v>7.072335823816909</v>
      </c>
    </row>
    <row r="7" spans="1:11">
      <c r="A7" s="4">
        <v>2021</v>
      </c>
      <c r="B7" s="12">
        <v>68620565</v>
      </c>
      <c r="C7" s="12">
        <v>1070</v>
      </c>
      <c r="D7" s="12">
        <v>489</v>
      </c>
      <c r="E7" s="12">
        <v>104305.0499439493</v>
      </c>
      <c r="F7" s="12">
        <v>164744601.59375</v>
      </c>
      <c r="G7" s="12">
        <v>153966.9173773364</v>
      </c>
      <c r="H7" s="5">
        <v>4.944309913307186</v>
      </c>
      <c r="I7" s="5">
        <v>9.717233848988649</v>
      </c>
      <c r="J7" s="5">
        <v>2.569605977582302</v>
      </c>
      <c r="K7" s="5">
        <v>8.721683302534933</v>
      </c>
    </row>
    <row r="8" spans="1:11">
      <c r="A8" s="7">
        <v>2022</v>
      </c>
      <c r="B8" s="13">
        <v>69009539</v>
      </c>
      <c r="C8" s="13">
        <v>1227</v>
      </c>
      <c r="D8" s="13">
        <v>489</v>
      </c>
      <c r="E8" s="13">
        <v>111397.9012807585</v>
      </c>
      <c r="F8" s="13">
        <v>207209778.578125</v>
      </c>
      <c r="G8" s="13">
        <v>168875.1251655461</v>
      </c>
      <c r="H8" s="8">
        <v>5.400607107257074</v>
      </c>
      <c r="I8" s="8">
        <v>10.92912376478705</v>
      </c>
      <c r="J8" s="8">
        <v>2.945787518021201</v>
      </c>
      <c r="K8" s="8">
        <v>10.21860788742608</v>
      </c>
    </row>
    <row r="9" spans="1:11">
      <c r="A9" s="4">
        <v>2023</v>
      </c>
      <c r="B9" s="12">
        <v>69342437</v>
      </c>
      <c r="C9" s="12">
        <v>1395</v>
      </c>
      <c r="D9" s="12">
        <v>489</v>
      </c>
      <c r="E9" s="12">
        <v>119164.2916441471</v>
      </c>
      <c r="F9" s="12">
        <v>232745963.078125</v>
      </c>
      <c r="G9" s="12">
        <v>166842.9842853943</v>
      </c>
      <c r="H9" s="5">
        <v>5.971576272701522</v>
      </c>
      <c r="I9" s="5">
        <v>11.15299426388145</v>
      </c>
      <c r="J9" s="5">
        <v>3.035374919505082</v>
      </c>
      <c r="K9" s="5">
        <v>10.78081245389279</v>
      </c>
    </row>
    <row r="10" spans="1:11">
      <c r="A10" s="7">
        <v>2024</v>
      </c>
      <c r="B10" s="13">
        <v>69342437</v>
      </c>
      <c r="C10" s="13">
        <v>1402</v>
      </c>
      <c r="D10" s="13">
        <v>489</v>
      </c>
      <c r="E10" s="13">
        <v>126642.2928822971</v>
      </c>
      <c r="F10" s="13">
        <v>230707389.0703125</v>
      </c>
      <c r="G10" s="13">
        <v>164555.9123183399</v>
      </c>
      <c r="H10" s="8">
        <v>6.302659122402119</v>
      </c>
      <c r="I10" s="8">
        <v>11.3143734780904</v>
      </c>
      <c r="J10" s="8">
        <v>3.227292070600828</v>
      </c>
      <c r="K10" s="8">
        <v>11.73472753606105</v>
      </c>
    </row>
    <row r="11" spans="1:11">
      <c r="A11" s="4">
        <v>2025</v>
      </c>
      <c r="B11" s="12">
        <v>69342437</v>
      </c>
      <c r="C11" s="12">
        <v>1291</v>
      </c>
      <c r="D11" s="12">
        <v>489</v>
      </c>
      <c r="E11" s="12">
        <v>134594.1324740848</v>
      </c>
      <c r="F11" s="12">
        <v>225677989.4765625</v>
      </c>
      <c r="G11" s="12">
        <v>174808.6672940066</v>
      </c>
      <c r="H11" s="5">
        <v>6.57115227071698</v>
      </c>
      <c r="I11" s="5">
        <v>12.44504462297894</v>
      </c>
      <c r="J11" s="5">
        <v>3.439845395847497</v>
      </c>
      <c r="K11" s="5">
        <v>12.82965660557703</v>
      </c>
    </row>
    <row r="13" spans="1:11">
      <c r="A13" s="11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30" customHeight="1">
      <c r="A14" s="3" t="s">
        <v>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21</v>
      </c>
      <c r="K14" s="3" t="s">
        <v>22</v>
      </c>
    </row>
    <row r="15" spans="1:11">
      <c r="A15" s="4">
        <v>2019</v>
      </c>
      <c r="B15" s="6">
        <v>100</v>
      </c>
      <c r="C15" s="6">
        <v>100</v>
      </c>
      <c r="D15" s="6">
        <v>100</v>
      </c>
      <c r="E15" s="6">
        <v>100</v>
      </c>
      <c r="F15" s="6">
        <v>100</v>
      </c>
      <c r="G15" s="6">
        <v>100</v>
      </c>
      <c r="H15" s="6">
        <v>100</v>
      </c>
      <c r="I15" s="6">
        <v>100</v>
      </c>
      <c r="J15" s="6">
        <v>100</v>
      </c>
      <c r="K15" s="6">
        <v>100</v>
      </c>
    </row>
    <row r="16" spans="1:11">
      <c r="A16" s="7">
        <v>2020</v>
      </c>
      <c r="B16" s="9">
        <v>100.2331978165711</v>
      </c>
      <c r="C16" s="9">
        <v>118.3035714285714</v>
      </c>
      <c r="D16" s="9">
        <v>100</v>
      </c>
      <c r="E16" s="9">
        <v>111.297574498523</v>
      </c>
      <c r="F16" s="9">
        <v>152.8099693412677</v>
      </c>
      <c r="G16" s="9">
        <v>129.1676721979017</v>
      </c>
      <c r="H16" s="9">
        <v>141.9081204800152</v>
      </c>
      <c r="I16" s="9">
        <v>121.6826909628298</v>
      </c>
      <c r="J16" s="9">
        <v>102.1874660647072</v>
      </c>
      <c r="K16" s="9">
        <v>111.0518518761</v>
      </c>
    </row>
    <row r="17" spans="1:11">
      <c r="A17" s="4">
        <v>2021</v>
      </c>
      <c r="B17" s="6">
        <v>100.5736063319988</v>
      </c>
      <c r="C17" s="6">
        <v>159.2261904761905</v>
      </c>
      <c r="D17" s="6">
        <v>100</v>
      </c>
      <c r="E17" s="6">
        <v>120.3514816098288</v>
      </c>
      <c r="F17" s="6">
        <v>223.8128788258578</v>
      </c>
      <c r="G17" s="6">
        <v>140.5628547392303</v>
      </c>
      <c r="H17" s="6">
        <v>207.226368528047</v>
      </c>
      <c r="I17" s="6">
        <v>158.1779022735456</v>
      </c>
      <c r="J17" s="6">
        <v>121.4018473572487</v>
      </c>
      <c r="K17" s="6">
        <v>136.9503805180785</v>
      </c>
    </row>
    <row r="18" spans="1:11">
      <c r="A18" s="7">
        <v>2022</v>
      </c>
      <c r="B18" s="9">
        <v>101.1437053678984</v>
      </c>
      <c r="C18" s="9">
        <v>182.5892857142857</v>
      </c>
      <c r="D18" s="9">
        <v>100</v>
      </c>
      <c r="E18" s="9">
        <v>128.5355069056506</v>
      </c>
      <c r="F18" s="9">
        <v>281.5037131158907</v>
      </c>
      <c r="G18" s="9">
        <v>154.1731827333974</v>
      </c>
      <c r="H18" s="9">
        <v>226.3507381832099</v>
      </c>
      <c r="I18" s="9">
        <v>177.9051423139205</v>
      </c>
      <c r="J18" s="9">
        <v>139.1746632478575</v>
      </c>
      <c r="K18" s="9">
        <v>160.4555210278384</v>
      </c>
    </row>
    <row r="19" spans="1:11">
      <c r="A19" s="4">
        <v>2023</v>
      </c>
      <c r="B19" s="6">
        <v>101.6316167163507</v>
      </c>
      <c r="C19" s="6">
        <v>207.5892857142857</v>
      </c>
      <c r="D19" s="6">
        <v>100</v>
      </c>
      <c r="E19" s="6">
        <v>137.4966893939041</v>
      </c>
      <c r="F19" s="6">
        <v>316.1957571154076</v>
      </c>
      <c r="G19" s="6">
        <v>152.3179561158092</v>
      </c>
      <c r="H19" s="6">
        <v>250.2812499778073</v>
      </c>
      <c r="I19" s="6">
        <v>181.5493240304457</v>
      </c>
      <c r="J19" s="6">
        <v>143.4072483737342</v>
      </c>
      <c r="K19" s="6">
        <v>169.2834188814831</v>
      </c>
    </row>
    <row r="20" spans="1:11">
      <c r="A20" s="7">
        <v>2024</v>
      </c>
      <c r="B20" s="9">
        <v>101.6316167163507</v>
      </c>
      <c r="C20" s="9">
        <v>208.6309523809524</v>
      </c>
      <c r="D20" s="9">
        <v>100</v>
      </c>
      <c r="E20" s="9">
        <v>146.1251165791182</v>
      </c>
      <c r="F20" s="9">
        <v>313.426263529735</v>
      </c>
      <c r="G20" s="9">
        <v>150.2299922196732</v>
      </c>
      <c r="H20" s="9">
        <v>264.1576246040653</v>
      </c>
      <c r="I20" s="9">
        <v>184.1762676618148</v>
      </c>
      <c r="J20" s="9">
        <v>152.4744348940915</v>
      </c>
      <c r="K20" s="9">
        <v>184.262067951085</v>
      </c>
    </row>
    <row r="21" spans="1:11">
      <c r="A21" s="4">
        <v>2025</v>
      </c>
      <c r="B21" s="6">
        <v>101.6316167163507</v>
      </c>
      <c r="C21" s="6">
        <v>192.1130952380952</v>
      </c>
      <c r="D21" s="6">
        <v>100</v>
      </c>
      <c r="E21" s="6">
        <v>155.3002780589278</v>
      </c>
      <c r="F21" s="6">
        <v>306.5936001771684</v>
      </c>
      <c r="G21" s="6">
        <v>159.5901621371473</v>
      </c>
      <c r="H21" s="6">
        <v>275.4107339510753</v>
      </c>
      <c r="I21" s="6">
        <v>202.5814221161672</v>
      </c>
      <c r="J21" s="6">
        <v>162.5165839908766</v>
      </c>
      <c r="K21" s="6">
        <v>201.4549592209316</v>
      </c>
    </row>
  </sheetData>
  <mergeCells count="3">
    <mergeCell ref="A1:I1"/>
    <mergeCell ref="A3:K3"/>
    <mergeCell ref="A13:K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7BA4"/>
  </sheetPr>
  <dimension ref="A1:I171"/>
  <sheetViews>
    <sheetView showGridLines="0" zoomScale="90" zoomScaleNormal="90" workbookViewId="0"/>
  </sheetViews>
  <sheetFormatPr defaultRowHeight="15"/>
  <cols>
    <col min="1" max="1" width="9.7109375" customWidth="1"/>
    <col min="2" max="2" width="20.7109375" customWidth="1"/>
    <col min="3" max="5" width="14.7109375" customWidth="1"/>
    <col min="6" max="6" width="20.7109375" customWidth="1"/>
  </cols>
  <sheetData>
    <row r="1" spans="1:9" ht="30" customHeight="1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25</v>
      </c>
      <c r="B2" s="2"/>
      <c r="C2" s="2"/>
      <c r="D2" s="2"/>
      <c r="E2" s="2"/>
      <c r="F2" s="2"/>
      <c r="G2" s="2"/>
      <c r="H2" s="2"/>
      <c r="I2" s="2"/>
    </row>
    <row r="4" spans="1:9">
      <c r="A4" s="11" t="s">
        <v>26</v>
      </c>
      <c r="B4" s="11"/>
      <c r="C4" s="11"/>
      <c r="D4" s="11"/>
      <c r="E4" s="11"/>
      <c r="F4" s="11"/>
    </row>
    <row r="5" spans="1:9" ht="30" customHeight="1">
      <c r="A5" s="3" t="s">
        <v>2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</row>
    <row r="6" spans="1:9">
      <c r="A6" s="4">
        <v>2019</v>
      </c>
      <c r="B6" s="12">
        <v>4006299.90234375</v>
      </c>
      <c r="C6" s="12">
        <v>51609555.5390625</v>
      </c>
      <c r="D6" s="12">
        <v>9249340.427734377</v>
      </c>
      <c r="E6" s="12">
        <v>3449550.640625</v>
      </c>
      <c r="F6" s="12">
        <v>68314746.50976562</v>
      </c>
    </row>
    <row r="7" spans="1:9">
      <c r="A7" s="7">
        <v>2020</v>
      </c>
      <c r="B7" s="13">
        <v>7497260.625</v>
      </c>
      <c r="C7" s="13">
        <v>83034092.6875</v>
      </c>
      <c r="D7" s="13">
        <v>10317444.265625</v>
      </c>
      <c r="E7" s="13">
        <v>4327533</v>
      </c>
      <c r="F7" s="13">
        <v>105176330.578125</v>
      </c>
    </row>
    <row r="8" spans="1:9">
      <c r="A8" s="4">
        <v>2021</v>
      </c>
      <c r="B8" s="12">
        <v>15321666.328125</v>
      </c>
      <c r="C8" s="12">
        <v>112994471.75</v>
      </c>
      <c r="D8" s="12">
        <v>18912427.078125</v>
      </c>
      <c r="E8" s="12">
        <v>8063481.921875</v>
      </c>
      <c r="F8" s="12">
        <v>155292047.078125</v>
      </c>
    </row>
    <row r="9" spans="1:9">
      <c r="A9" s="7">
        <v>2022</v>
      </c>
      <c r="B9" s="13">
        <v>19400461.5078125</v>
      </c>
      <c r="C9" s="13">
        <v>142930072.484375</v>
      </c>
      <c r="D9" s="13">
        <v>23583154.3359375</v>
      </c>
      <c r="E9" s="13">
        <v>10033854</v>
      </c>
      <c r="F9" s="13">
        <v>195947542.328125</v>
      </c>
    </row>
    <row r="10" spans="1:9">
      <c r="A10" s="4">
        <v>2023</v>
      </c>
      <c r="B10" s="12">
        <v>20710632.1953125</v>
      </c>
      <c r="C10" s="12">
        <v>167558708.796875</v>
      </c>
      <c r="D10" s="12">
        <v>25010107.8203125</v>
      </c>
      <c r="E10" s="12">
        <v>11088159.203125</v>
      </c>
      <c r="F10" s="12">
        <v>224367608.015625</v>
      </c>
    </row>
    <row r="11" spans="1:9">
      <c r="A11" s="7">
        <v>2024</v>
      </c>
      <c r="B11" s="13">
        <v>22401184.890625</v>
      </c>
      <c r="C11" s="13">
        <v>172868656.359375</v>
      </c>
      <c r="D11" s="13">
        <v>24540882.21484375</v>
      </c>
      <c r="E11" s="13">
        <v>10896665.60546875</v>
      </c>
      <c r="F11" s="13">
        <v>230707389.0703125</v>
      </c>
    </row>
    <row r="12" spans="1:9">
      <c r="A12" s="4">
        <v>2025</v>
      </c>
      <c r="B12" s="12">
        <v>19535122.9609375</v>
      </c>
      <c r="C12" s="12">
        <v>165514032.359375</v>
      </c>
      <c r="D12" s="12">
        <v>22779476.015625</v>
      </c>
      <c r="E12" s="12">
        <v>10324490.640625</v>
      </c>
      <c r="F12" s="12">
        <v>218153121.9765625</v>
      </c>
    </row>
    <row r="14" spans="1:9">
      <c r="A14" s="11" t="s">
        <v>32</v>
      </c>
      <c r="B14" s="11"/>
      <c r="C14" s="11"/>
      <c r="D14" s="11"/>
      <c r="E14" s="11"/>
      <c r="F14" s="11"/>
    </row>
    <row r="15" spans="1:9" ht="30" customHeight="1">
      <c r="A15" s="3" t="s">
        <v>2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</row>
    <row r="16" spans="1:9">
      <c r="A16" s="4">
        <v>2019</v>
      </c>
      <c r="B16" s="12">
        <v>51</v>
      </c>
      <c r="C16" s="12">
        <v>217</v>
      </c>
      <c r="D16" s="12">
        <v>235</v>
      </c>
      <c r="E16" s="12">
        <v>125</v>
      </c>
      <c r="F16" s="12">
        <v>628</v>
      </c>
    </row>
    <row r="17" spans="1:6">
      <c r="A17" s="7">
        <v>2020</v>
      </c>
      <c r="B17" s="13">
        <v>76</v>
      </c>
      <c r="C17" s="13">
        <v>263</v>
      </c>
      <c r="D17" s="13">
        <v>265</v>
      </c>
      <c r="E17" s="13">
        <v>146</v>
      </c>
      <c r="F17" s="13">
        <v>750</v>
      </c>
    </row>
    <row r="18" spans="1:6">
      <c r="A18" s="4">
        <v>2021</v>
      </c>
      <c r="B18" s="12">
        <v>109</v>
      </c>
      <c r="C18" s="12">
        <v>309</v>
      </c>
      <c r="D18" s="12">
        <v>366</v>
      </c>
      <c r="E18" s="12">
        <v>226</v>
      </c>
      <c r="F18" s="12">
        <v>1010</v>
      </c>
    </row>
    <row r="19" spans="1:6">
      <c r="A19" s="7">
        <v>2022</v>
      </c>
      <c r="B19" s="13">
        <v>127</v>
      </c>
      <c r="C19" s="13">
        <v>355</v>
      </c>
      <c r="D19" s="13">
        <v>405</v>
      </c>
      <c r="E19" s="13">
        <v>271</v>
      </c>
      <c r="F19" s="13">
        <v>1158</v>
      </c>
    </row>
    <row r="20" spans="1:6">
      <c r="A20" s="4">
        <v>2023</v>
      </c>
      <c r="B20" s="12">
        <v>137</v>
      </c>
      <c r="C20" s="12">
        <v>434</v>
      </c>
      <c r="D20" s="12">
        <v>444</v>
      </c>
      <c r="E20" s="12">
        <v>308</v>
      </c>
      <c r="F20" s="12">
        <v>1323</v>
      </c>
    </row>
    <row r="21" spans="1:6">
      <c r="A21" s="7">
        <v>2024</v>
      </c>
      <c r="B21" s="13">
        <v>153</v>
      </c>
      <c r="C21" s="13">
        <v>463</v>
      </c>
      <c r="D21" s="13">
        <v>453</v>
      </c>
      <c r="E21" s="13">
        <v>333</v>
      </c>
      <c r="F21" s="13">
        <v>1402</v>
      </c>
    </row>
    <row r="22" spans="1:6">
      <c r="A22" s="4">
        <v>2025</v>
      </c>
      <c r="B22" s="12">
        <v>132</v>
      </c>
      <c r="C22" s="12">
        <v>425</v>
      </c>
      <c r="D22" s="12">
        <v>394</v>
      </c>
      <c r="E22" s="12">
        <v>291</v>
      </c>
      <c r="F22" s="12">
        <v>1242</v>
      </c>
    </row>
    <row r="24" spans="1:6">
      <c r="A24" s="11" t="s">
        <v>33</v>
      </c>
      <c r="B24" s="11"/>
      <c r="C24" s="11"/>
      <c r="D24" s="11"/>
      <c r="E24" s="11"/>
      <c r="F24" s="11"/>
    </row>
    <row r="25" spans="1:6" ht="30" customHeight="1">
      <c r="A25" s="3" t="s">
        <v>2</v>
      </c>
      <c r="B25" s="3" t="s">
        <v>27</v>
      </c>
      <c r="C25" s="3" t="s">
        <v>28</v>
      </c>
      <c r="D25" s="3" t="s">
        <v>29</v>
      </c>
      <c r="E25" s="3" t="s">
        <v>30</v>
      </c>
      <c r="F25" s="3" t="s">
        <v>31</v>
      </c>
    </row>
    <row r="26" spans="1:6">
      <c r="A26" s="4">
        <v>2019</v>
      </c>
      <c r="B26" s="12">
        <v>32</v>
      </c>
      <c r="C26" s="12">
        <v>183</v>
      </c>
      <c r="D26" s="12">
        <v>186</v>
      </c>
      <c r="E26" s="12">
        <v>88</v>
      </c>
      <c r="F26" s="12">
        <v>489</v>
      </c>
    </row>
    <row r="27" spans="1:6">
      <c r="A27" s="7">
        <v>2020</v>
      </c>
      <c r="B27" s="13">
        <v>32</v>
      </c>
      <c r="C27" s="13">
        <v>183</v>
      </c>
      <c r="D27" s="13">
        <v>186</v>
      </c>
      <c r="E27" s="13">
        <v>88</v>
      </c>
      <c r="F27" s="13">
        <v>489</v>
      </c>
    </row>
    <row r="28" spans="1:6">
      <c r="A28" s="4">
        <v>2021</v>
      </c>
      <c r="B28" s="12">
        <v>32</v>
      </c>
      <c r="C28" s="12">
        <v>183</v>
      </c>
      <c r="D28" s="12">
        <v>186</v>
      </c>
      <c r="E28" s="12">
        <v>88</v>
      </c>
      <c r="F28" s="12">
        <v>489</v>
      </c>
    </row>
    <row r="29" spans="1:6">
      <c r="A29" s="7">
        <v>2022</v>
      </c>
      <c r="B29" s="13">
        <v>32</v>
      </c>
      <c r="C29" s="13">
        <v>183</v>
      </c>
      <c r="D29" s="13">
        <v>186</v>
      </c>
      <c r="E29" s="13">
        <v>88</v>
      </c>
      <c r="F29" s="13">
        <v>489</v>
      </c>
    </row>
    <row r="30" spans="1:6">
      <c r="A30" s="4">
        <v>2023</v>
      </c>
      <c r="B30" s="12">
        <v>32</v>
      </c>
      <c r="C30" s="12">
        <v>183</v>
      </c>
      <c r="D30" s="12">
        <v>186</v>
      </c>
      <c r="E30" s="12">
        <v>88</v>
      </c>
      <c r="F30" s="12">
        <v>489</v>
      </c>
    </row>
    <row r="31" spans="1:6">
      <c r="A31" s="7">
        <v>2024</v>
      </c>
      <c r="B31" s="13">
        <v>32</v>
      </c>
      <c r="C31" s="13">
        <v>183</v>
      </c>
      <c r="D31" s="13">
        <v>186</v>
      </c>
      <c r="E31" s="13">
        <v>88</v>
      </c>
      <c r="F31" s="13">
        <v>489</v>
      </c>
    </row>
    <row r="32" spans="1:6">
      <c r="A32" s="4">
        <v>2025</v>
      </c>
      <c r="B32" s="12">
        <v>32</v>
      </c>
      <c r="C32" s="12">
        <v>183</v>
      </c>
      <c r="D32" s="12">
        <v>186</v>
      </c>
      <c r="E32" s="12">
        <v>88</v>
      </c>
      <c r="F32" s="12">
        <v>489</v>
      </c>
    </row>
    <row r="34" spans="1:6">
      <c r="A34" s="11" t="s">
        <v>34</v>
      </c>
      <c r="B34" s="11"/>
      <c r="C34" s="11"/>
      <c r="D34" s="11"/>
      <c r="E34" s="11"/>
      <c r="F34" s="11"/>
    </row>
    <row r="35" spans="1:6" ht="30" customHeight="1">
      <c r="A35" s="3" t="s">
        <v>2</v>
      </c>
      <c r="B35" s="3" t="s">
        <v>27</v>
      </c>
      <c r="C35" s="3" t="s">
        <v>28</v>
      </c>
      <c r="D35" s="3" t="s">
        <v>29</v>
      </c>
      <c r="E35" s="3" t="s">
        <v>30</v>
      </c>
      <c r="F35" s="3" t="s">
        <v>31</v>
      </c>
    </row>
    <row r="36" spans="1:6">
      <c r="A36" s="4">
        <v>2019</v>
      </c>
      <c r="B36" s="12">
        <v>78554.90004595589</v>
      </c>
      <c r="C36" s="12">
        <v>237832.0531754032</v>
      </c>
      <c r="D36" s="12">
        <v>39358.89543716756</v>
      </c>
      <c r="E36" s="12">
        <v>27596.405125</v>
      </c>
      <c r="F36" s="12">
        <v>108781.4434868879</v>
      </c>
    </row>
    <row r="37" spans="1:6">
      <c r="A37" s="7">
        <v>2020</v>
      </c>
      <c r="B37" s="13">
        <v>98648.16611842105</v>
      </c>
      <c r="C37" s="13">
        <v>315718.9836026616</v>
      </c>
      <c r="D37" s="13">
        <v>38933.75194575472</v>
      </c>
      <c r="E37" s="13">
        <v>29640.63698630137</v>
      </c>
      <c r="F37" s="13">
        <v>140235.1074375</v>
      </c>
    </row>
    <row r="38" spans="1:6">
      <c r="A38" s="4">
        <v>2021</v>
      </c>
      <c r="B38" s="12">
        <v>140565.7461295871</v>
      </c>
      <c r="C38" s="12">
        <v>365677.9021035599</v>
      </c>
      <c r="D38" s="12">
        <v>51673.29802766394</v>
      </c>
      <c r="E38" s="12">
        <v>35679.12354811947</v>
      </c>
      <c r="F38" s="12">
        <v>153754.5020575495</v>
      </c>
    </row>
    <row r="39" spans="1:6">
      <c r="A39" s="7">
        <v>2022</v>
      </c>
      <c r="B39" s="13">
        <v>152759.5394315945</v>
      </c>
      <c r="C39" s="13">
        <v>402619.9224911972</v>
      </c>
      <c r="D39" s="13">
        <v>58230.01070601852</v>
      </c>
      <c r="E39" s="13">
        <v>37025.29151291513</v>
      </c>
      <c r="F39" s="13">
        <v>169212.0400070164</v>
      </c>
    </row>
    <row r="40" spans="1:6">
      <c r="A40" s="4">
        <v>2023</v>
      </c>
      <c r="B40" s="12">
        <v>151172.4977760036</v>
      </c>
      <c r="C40" s="12">
        <v>386079.9741863479</v>
      </c>
      <c r="D40" s="12">
        <v>56329.0716673705</v>
      </c>
      <c r="E40" s="12">
        <v>36000.51689326299</v>
      </c>
      <c r="F40" s="12">
        <v>169590.0287344104</v>
      </c>
    </row>
    <row r="41" spans="1:6">
      <c r="A41" s="7">
        <v>2024</v>
      </c>
      <c r="B41" s="13">
        <v>146412.9731413399</v>
      </c>
      <c r="C41" s="13">
        <v>373366.4284219762</v>
      </c>
      <c r="D41" s="13">
        <v>54174.13292459989</v>
      </c>
      <c r="E41" s="13">
        <v>32722.71953594219</v>
      </c>
      <c r="F41" s="13">
        <v>164555.9123183399</v>
      </c>
    </row>
    <row r="42" spans="1:6">
      <c r="A42" s="4">
        <v>2025</v>
      </c>
      <c r="B42" s="12">
        <v>147993.355764678</v>
      </c>
      <c r="C42" s="12">
        <v>389444.7820220588</v>
      </c>
      <c r="D42" s="12">
        <v>57815.92897366751</v>
      </c>
      <c r="E42" s="12">
        <v>35479.34928049828</v>
      </c>
      <c r="F42" s="12">
        <v>175646.6360519827</v>
      </c>
    </row>
    <row r="44" spans="1:6">
      <c r="A44" s="11" t="s">
        <v>35</v>
      </c>
      <c r="B44" s="11"/>
      <c r="C44" s="11"/>
      <c r="D44" s="11"/>
      <c r="E44" s="11"/>
      <c r="F44" s="11"/>
    </row>
    <row r="45" spans="1:6" ht="30" customHeight="1">
      <c r="A45" s="3" t="s">
        <v>2</v>
      </c>
      <c r="B45" s="3" t="s">
        <v>27</v>
      </c>
      <c r="C45" s="3" t="s">
        <v>28</v>
      </c>
      <c r="D45" s="3" t="s">
        <v>29</v>
      </c>
      <c r="E45" s="3" t="s">
        <v>30</v>
      </c>
      <c r="F45" s="3" t="s">
        <v>31</v>
      </c>
    </row>
    <row r="46" spans="1:6">
      <c r="A46" s="4">
        <v>2019</v>
      </c>
      <c r="B46" s="12">
        <v>17812.15694271211</v>
      </c>
      <c r="C46" s="12">
        <v>19333.80264048224</v>
      </c>
      <c r="D46" s="12">
        <v>28943.33810836167</v>
      </c>
      <c r="E46" s="12">
        <v>20577.72837971336</v>
      </c>
      <c r="F46" s="12">
        <v>86667.02607126937</v>
      </c>
    </row>
    <row r="47" spans="1:6">
      <c r="A47" s="7">
        <v>2020</v>
      </c>
      <c r="B47" s="13">
        <v>19576.88699971125</v>
      </c>
      <c r="C47" s="13">
        <v>21949.72110552647</v>
      </c>
      <c r="D47" s="13">
        <v>31782.67945770431</v>
      </c>
      <c r="E47" s="13">
        <v>23149.01034438332</v>
      </c>
      <c r="F47" s="13">
        <v>96458.29790732537</v>
      </c>
    </row>
    <row r="48" spans="1:6">
      <c r="A48" s="4">
        <v>2021</v>
      </c>
      <c r="B48" s="12">
        <v>20810.99064805082</v>
      </c>
      <c r="C48" s="12">
        <v>22738.61653835155</v>
      </c>
      <c r="D48" s="12">
        <v>35145.03853395945</v>
      </c>
      <c r="E48" s="12">
        <v>25610.40422358751</v>
      </c>
      <c r="F48" s="12">
        <v>104305.0499439493</v>
      </c>
    </row>
    <row r="49" spans="1:6">
      <c r="A49" s="7">
        <v>2022</v>
      </c>
      <c r="B49" s="13">
        <v>22248.04159073517</v>
      </c>
      <c r="C49" s="13">
        <v>23668.90814914828</v>
      </c>
      <c r="D49" s="13">
        <v>37864.34633621997</v>
      </c>
      <c r="E49" s="13">
        <v>27616.60520465505</v>
      </c>
      <c r="F49" s="13">
        <v>111397.9012807585</v>
      </c>
    </row>
    <row r="50" spans="1:6">
      <c r="A50" s="4">
        <v>2023</v>
      </c>
      <c r="B50" s="12">
        <v>23240.34510667736</v>
      </c>
      <c r="C50" s="12">
        <v>25377.54798708056</v>
      </c>
      <c r="D50" s="12">
        <v>40900.3123270495</v>
      </c>
      <c r="E50" s="12">
        <v>29646.08622333971</v>
      </c>
      <c r="F50" s="12">
        <v>119164.2916441471</v>
      </c>
    </row>
    <row r="51" spans="1:6">
      <c r="A51" s="7">
        <v>2024</v>
      </c>
      <c r="B51" s="13">
        <v>24155.53891852646</v>
      </c>
      <c r="C51" s="13">
        <v>26647.51793343484</v>
      </c>
      <c r="D51" s="13">
        <v>43943.69157902947</v>
      </c>
      <c r="E51" s="13">
        <v>31895.54445130636</v>
      </c>
      <c r="F51" s="13">
        <v>126642.2928822971</v>
      </c>
    </row>
    <row r="52" spans="1:6">
      <c r="A52" s="4">
        <v>2025</v>
      </c>
      <c r="B52" s="12">
        <v>25477.33190656062</v>
      </c>
      <c r="C52" s="12">
        <v>27949.5178109474</v>
      </c>
      <c r="D52" s="12">
        <v>47198.55118951705</v>
      </c>
      <c r="E52" s="12">
        <v>33968.7315670597</v>
      </c>
      <c r="F52" s="12">
        <v>134594.1324740848</v>
      </c>
    </row>
    <row r="54" spans="1:6">
      <c r="A54" s="11" t="s">
        <v>36</v>
      </c>
      <c r="B54" s="11"/>
      <c r="C54" s="11"/>
      <c r="D54" s="11"/>
      <c r="E54" s="11"/>
      <c r="F54" s="11"/>
    </row>
    <row r="55" spans="1:6" ht="30" customHeight="1">
      <c r="A55" s="3" t="s">
        <v>2</v>
      </c>
      <c r="B55" s="3" t="s">
        <v>27</v>
      </c>
      <c r="C55" s="3" t="s">
        <v>28</v>
      </c>
      <c r="D55" s="3" t="s">
        <v>29</v>
      </c>
      <c r="E55" s="3" t="s">
        <v>30</v>
      </c>
      <c r="F55" s="3" t="s">
        <v>31</v>
      </c>
    </row>
    <row r="56" spans="1:6">
      <c r="A56" s="4">
        <v>2019</v>
      </c>
      <c r="B56" s="12">
        <v>2042.325150543279</v>
      </c>
      <c r="C56" s="12">
        <v>5410.688859744844</v>
      </c>
      <c r="D56" s="12">
        <v>3427.222766217222</v>
      </c>
      <c r="E56" s="12">
        <v>1692.096802855286</v>
      </c>
      <c r="F56" s="12">
        <v>12572.33357936063</v>
      </c>
    </row>
    <row r="57" spans="1:6">
      <c r="A57" s="7">
        <v>2020</v>
      </c>
      <c r="B57" s="13">
        <v>2799.324361549126</v>
      </c>
      <c r="C57" s="13">
        <v>8185.232448275733</v>
      </c>
      <c r="D57" s="13">
        <v>4053.024388426695</v>
      </c>
      <c r="E57" s="13">
        <v>2362.885903126754</v>
      </c>
      <c r="F57" s="13">
        <v>17400.46710137831</v>
      </c>
    </row>
    <row r="58" spans="1:6">
      <c r="A58" s="4">
        <v>2021</v>
      </c>
      <c r="B58" s="12">
        <v>3665.461559952342</v>
      </c>
      <c r="C58" s="12">
        <v>9102.4550070679</v>
      </c>
      <c r="D58" s="12">
        <v>5638.939726108768</v>
      </c>
      <c r="E58" s="12">
        <v>4092.722860455611</v>
      </c>
      <c r="F58" s="12">
        <v>22499.57915358462</v>
      </c>
    </row>
    <row r="59" spans="1:6">
      <c r="A59" s="7">
        <v>2022</v>
      </c>
      <c r="B59" s="13">
        <v>4219.760954831337</v>
      </c>
      <c r="C59" s="13">
        <v>10070.80024448848</v>
      </c>
      <c r="D59" s="13">
        <v>6787.347811644544</v>
      </c>
      <c r="E59" s="13">
        <v>4837.7772152161</v>
      </c>
      <c r="F59" s="13">
        <v>25915.68622618046</v>
      </c>
    </row>
    <row r="60" spans="1:6">
      <c r="A60" s="4">
        <v>2023</v>
      </c>
      <c r="B60" s="12">
        <v>4390.935739821534</v>
      </c>
      <c r="C60" s="12">
        <v>12449.09433446324</v>
      </c>
      <c r="D60" s="12">
        <v>7544.821119900326</v>
      </c>
      <c r="E60" s="12">
        <v>5302.599819147919</v>
      </c>
      <c r="F60" s="12">
        <v>29687.45101333302</v>
      </c>
    </row>
    <row r="61" spans="1:6">
      <c r="A61" s="7">
        <v>2024</v>
      </c>
      <c r="B61" s="13">
        <v>4731.024723491174</v>
      </c>
      <c r="C61" s="13">
        <v>13130.27351826063</v>
      </c>
      <c r="D61" s="13">
        <v>8292.814042679751</v>
      </c>
      <c r="E61" s="13">
        <v>5988.143475053777</v>
      </c>
      <c r="F61" s="13">
        <v>32142.25575948534</v>
      </c>
    </row>
    <row r="62" spans="1:6">
      <c r="A62" s="4">
        <v>2025</v>
      </c>
      <c r="B62" s="12">
        <v>4484.143488564741</v>
      </c>
      <c r="C62" s="12">
        <v>13459.47374952942</v>
      </c>
      <c r="D62" s="12">
        <v>7663.698420276235</v>
      </c>
      <c r="E62" s="12">
        <v>5492.991102381534</v>
      </c>
      <c r="F62" s="12">
        <v>31100.30676075193</v>
      </c>
    </row>
    <row r="64" spans="1:6">
      <c r="A64" s="11" t="s">
        <v>37</v>
      </c>
      <c r="B64" s="11"/>
      <c r="C64" s="11"/>
      <c r="D64" s="11"/>
      <c r="E64" s="11"/>
      <c r="F64" s="11"/>
    </row>
    <row r="65" spans="1:6" ht="30" customHeight="1">
      <c r="A65" s="3" t="s">
        <v>2</v>
      </c>
      <c r="B65" s="3" t="s">
        <v>27</v>
      </c>
      <c r="C65" s="3" t="s">
        <v>28</v>
      </c>
      <c r="D65" s="3" t="s">
        <v>29</v>
      </c>
      <c r="E65" s="3" t="s">
        <v>30</v>
      </c>
      <c r="F65" s="3" t="s">
        <v>31</v>
      </c>
    </row>
    <row r="66" spans="1:6">
      <c r="A66" s="4">
        <v>2019</v>
      </c>
      <c r="B66" s="6">
        <v>88.53409411834932</v>
      </c>
      <c r="C66" s="6">
        <v>72.0143576493554</v>
      </c>
      <c r="D66" s="6">
        <v>88.15885454059944</v>
      </c>
      <c r="E66" s="6">
        <v>91.77704763309323</v>
      </c>
      <c r="F66" s="6">
        <v>85.49352141260512</v>
      </c>
    </row>
    <row r="67" spans="1:6">
      <c r="A67" s="7">
        <v>2020</v>
      </c>
      <c r="B67" s="9">
        <v>85.70087081980698</v>
      </c>
      <c r="C67" s="9">
        <v>62.70917334701412</v>
      </c>
      <c r="D67" s="9">
        <v>87.24769447516101</v>
      </c>
      <c r="E67" s="9">
        <v>89.7927130880562</v>
      </c>
      <c r="F67" s="9">
        <v>81.96063223290938</v>
      </c>
    </row>
    <row r="68" spans="1:6">
      <c r="A68" s="4">
        <v>2021</v>
      </c>
      <c r="B68" s="6">
        <v>82.3868953576429</v>
      </c>
      <c r="C68" s="6">
        <v>59.96917846028382</v>
      </c>
      <c r="D68" s="6">
        <v>83.95523248420953</v>
      </c>
      <c r="E68" s="6">
        <v>84.01929612385359</v>
      </c>
      <c r="F68" s="6">
        <v>78.42906056257556</v>
      </c>
    </row>
    <row r="69" spans="1:6">
      <c r="A69" s="7">
        <v>2022</v>
      </c>
      <c r="B69" s="9">
        <v>81.03311279052721</v>
      </c>
      <c r="C69" s="9">
        <v>57.4513527154362</v>
      </c>
      <c r="D69" s="9">
        <v>82.07456758562353</v>
      </c>
      <c r="E69" s="9">
        <v>82.4823609586864</v>
      </c>
      <c r="F69" s="9">
        <v>76.73592955681937</v>
      </c>
    </row>
    <row r="70" spans="1:6">
      <c r="A70" s="4">
        <v>2023</v>
      </c>
      <c r="B70" s="6">
        <v>81.10640905001044</v>
      </c>
      <c r="C70" s="6">
        <v>50.94445554471638</v>
      </c>
      <c r="D70" s="6">
        <v>81.55314546360923</v>
      </c>
      <c r="E70" s="6">
        <v>82.11365986322572</v>
      </c>
      <c r="F70" s="6">
        <v>75.08695717171148</v>
      </c>
    </row>
    <row r="71" spans="1:6">
      <c r="A71" s="7">
        <v>2024</v>
      </c>
      <c r="B71" s="9">
        <v>80.41432758156084</v>
      </c>
      <c r="C71" s="9">
        <v>50.72609182191044</v>
      </c>
      <c r="D71" s="9">
        <v>81.12854486117594</v>
      </c>
      <c r="E71" s="9">
        <v>81.22576811881787</v>
      </c>
      <c r="F71" s="9">
        <v>74.61965112290036</v>
      </c>
    </row>
    <row r="72" spans="1:6">
      <c r="A72" s="4">
        <v>2025</v>
      </c>
      <c r="B72" s="6">
        <v>82.39947768074553</v>
      </c>
      <c r="C72" s="6">
        <v>51.84362807054386</v>
      </c>
      <c r="D72" s="6">
        <v>83.76285240302383</v>
      </c>
      <c r="E72" s="6">
        <v>83.82927224839852</v>
      </c>
      <c r="F72" s="6">
        <v>76.89326704732832</v>
      </c>
    </row>
    <row r="74" spans="1:6">
      <c r="A74" s="11" t="s">
        <v>38</v>
      </c>
      <c r="B74" s="11"/>
      <c r="C74" s="11"/>
      <c r="D74" s="11"/>
      <c r="E74" s="11"/>
    </row>
    <row r="75" spans="1:6" ht="30" customHeight="1">
      <c r="A75" s="3" t="s">
        <v>2</v>
      </c>
      <c r="B75" s="3" t="s">
        <v>27</v>
      </c>
      <c r="C75" s="3" t="s">
        <v>28</v>
      </c>
      <c r="D75" s="3" t="s">
        <v>29</v>
      </c>
      <c r="E75" s="3" t="s">
        <v>30</v>
      </c>
    </row>
    <row r="76" spans="1:6">
      <c r="A76" s="4">
        <v>2019</v>
      </c>
      <c r="B76" s="12">
        <v>61382.27184203054</v>
      </c>
      <c r="C76" s="12">
        <v>104863.1090304259</v>
      </c>
      <c r="D76" s="12">
        <v>33812.62052572222</v>
      </c>
      <c r="E76" s="12">
        <v>24701.78468494298</v>
      </c>
    </row>
    <row r="77" spans="1:6">
      <c r="A77" s="7">
        <v>2020</v>
      </c>
      <c r="B77" s="13">
        <v>70619.61322612561</v>
      </c>
      <c r="C77" s="13">
        <v>105865.124477288</v>
      </c>
      <c r="D77" s="13">
        <v>31920.43219107609</v>
      </c>
      <c r="E77" s="13">
        <v>27049.30841095136</v>
      </c>
    </row>
    <row r="78" spans="1:6">
      <c r="A78" s="4">
        <v>2021</v>
      </c>
      <c r="B78" s="12">
        <v>81590.40899250556</v>
      </c>
      <c r="C78" s="12">
        <v>119989.456460219</v>
      </c>
      <c r="D78" s="12">
        <v>37994.46051220315</v>
      </c>
      <c r="E78" s="12">
        <v>28662.44174806014</v>
      </c>
    </row>
    <row r="79" spans="1:6">
      <c r="A79" s="7">
        <v>2022</v>
      </c>
      <c r="B79" s="13">
        <v>87979.98667446649</v>
      </c>
      <c r="C79" s="13">
        <v>147564.7612040964</v>
      </c>
      <c r="D79" s="13">
        <v>41600.11559395462</v>
      </c>
      <c r="E79" s="13">
        <v>28227.11032383069</v>
      </c>
    </row>
    <row r="80" spans="1:6">
      <c r="A80" s="4">
        <v>2023</v>
      </c>
      <c r="B80" s="12">
        <v>82507.11710951904</v>
      </c>
      <c r="C80" s="12">
        <v>125197.0857087248</v>
      </c>
      <c r="D80" s="12">
        <v>41708.18066201904</v>
      </c>
      <c r="E80" s="12">
        <v>25321.18783245349</v>
      </c>
    </row>
    <row r="81" spans="1:6">
      <c r="A81" s="7">
        <v>2024</v>
      </c>
      <c r="B81" s="13">
        <v>79298.24969074804</v>
      </c>
      <c r="C81" s="13">
        <v>113801.6254675412</v>
      </c>
      <c r="D81" s="13">
        <v>37349.00847936039</v>
      </c>
      <c r="E81" s="13">
        <v>23220.2012772213</v>
      </c>
    </row>
    <row r="82" spans="1:6">
      <c r="A82" s="4">
        <v>2025</v>
      </c>
      <c r="B82" s="12">
        <v>81190.62156415859</v>
      </c>
      <c r="C82" s="12">
        <v>131547.580324241</v>
      </c>
      <c r="D82" s="12">
        <v>38506.67279461143</v>
      </c>
      <c r="E82" s="12">
        <v>26020.62138721242</v>
      </c>
    </row>
    <row r="84" spans="1:6">
      <c r="A84" s="11" t="s">
        <v>39</v>
      </c>
      <c r="B84" s="11"/>
      <c r="C84" s="11"/>
      <c r="D84" s="11"/>
      <c r="E84" s="11"/>
      <c r="F84" s="11"/>
    </row>
    <row r="85" spans="1:6" ht="30" customHeight="1">
      <c r="A85" s="3" t="s">
        <v>2</v>
      </c>
      <c r="B85" s="3" t="s">
        <v>27</v>
      </c>
      <c r="C85" s="3" t="s">
        <v>28</v>
      </c>
      <c r="D85" s="3" t="s">
        <v>29</v>
      </c>
      <c r="E85" s="3" t="s">
        <v>30</v>
      </c>
      <c r="F85" s="3" t="s">
        <v>31</v>
      </c>
    </row>
    <row r="86" spans="1:6">
      <c r="A86" s="4">
        <v>2019</v>
      </c>
      <c r="B86" s="5">
        <v>0.356606896675385</v>
      </c>
      <c r="C86" s="5">
        <v>1.687764529007378</v>
      </c>
      <c r="D86" s="5">
        <v>0.2650860603091906</v>
      </c>
      <c r="E86" s="5">
        <v>0.07648883369081434</v>
      </c>
      <c r="F86" s="5">
        <v>2.385946319682768</v>
      </c>
    </row>
    <row r="87" spans="1:6">
      <c r="A87" s="7">
        <v>2020</v>
      </c>
      <c r="B87" s="8">
        <v>0.3902459176841628</v>
      </c>
      <c r="C87" s="8">
        <v>2.639589309714916</v>
      </c>
      <c r="D87" s="8">
        <v>0.2449446957552175</v>
      </c>
      <c r="E87" s="8">
        <v>0.1110716547696147</v>
      </c>
      <c r="F87" s="8">
        <v>3.385851577923912</v>
      </c>
    </row>
    <row r="88" spans="1:6">
      <c r="A88" s="4">
        <v>2021</v>
      </c>
      <c r="B88" s="5">
        <v>0.606275621904192</v>
      </c>
      <c r="C88" s="5">
        <v>3.648109063503917</v>
      </c>
      <c r="D88" s="5">
        <v>0.4540106547934003</v>
      </c>
      <c r="E88" s="5">
        <v>0.2359145731056779</v>
      </c>
      <c r="F88" s="5">
        <v>4.944309913307187</v>
      </c>
    </row>
    <row r="89" spans="1:6">
      <c r="A89" s="7">
        <v>2022</v>
      </c>
      <c r="B89" s="8">
        <v>0.7149932098025072</v>
      </c>
      <c r="C89" s="8">
        <v>3.81453447830797</v>
      </c>
      <c r="D89" s="8">
        <v>0.6023188784550882</v>
      </c>
      <c r="E89" s="8">
        <v>0.2687605406915098</v>
      </c>
      <c r="F89" s="8">
        <v>5.400607107257075</v>
      </c>
    </row>
    <row r="90" spans="1:6">
      <c r="A90" s="4">
        <v>2023</v>
      </c>
      <c r="B90" s="5">
        <v>0.7660349667291434</v>
      </c>
      <c r="C90" s="5">
        <v>4.264905952558317</v>
      </c>
      <c r="D90" s="5">
        <v>0.6666393693460112</v>
      </c>
      <c r="E90" s="5">
        <v>0.2739959840680511</v>
      </c>
      <c r="F90" s="5">
        <v>5.971576272701523</v>
      </c>
    </row>
    <row r="91" spans="1:6">
      <c r="A91" s="7">
        <v>2024</v>
      </c>
      <c r="B91" s="8">
        <v>0.8386240710439765</v>
      </c>
      <c r="C91" s="8">
        <v>4.456046757695245</v>
      </c>
      <c r="D91" s="8">
        <v>0.7132853244524099</v>
      </c>
      <c r="E91" s="8">
        <v>0.2947029692104874</v>
      </c>
      <c r="F91" s="8">
        <v>6.302659122402119</v>
      </c>
    </row>
    <row r="92" spans="1:6">
      <c r="A92" s="4">
        <v>2025</v>
      </c>
      <c r="B92" s="5">
        <v>0.8741362996555034</v>
      </c>
      <c r="C92" s="5">
        <v>4.702460096978172</v>
      </c>
      <c r="D92" s="5">
        <v>0.7070214875469576</v>
      </c>
      <c r="E92" s="5">
        <v>0.2875343865363461</v>
      </c>
      <c r="F92" s="5">
        <v>6.571152270716978</v>
      </c>
    </row>
    <row r="94" spans="1:6">
      <c r="A94" s="11" t="s">
        <v>40</v>
      </c>
      <c r="B94" s="11"/>
      <c r="C94" s="11"/>
      <c r="D94" s="11"/>
      <c r="E94" s="11"/>
      <c r="F94" s="11"/>
    </row>
    <row r="95" spans="1:6" ht="30" customHeight="1">
      <c r="A95" s="3" t="s">
        <v>2</v>
      </c>
      <c r="B95" s="3" t="s">
        <v>27</v>
      </c>
      <c r="C95" s="3" t="s">
        <v>28</v>
      </c>
      <c r="D95" s="3" t="s">
        <v>29</v>
      </c>
      <c r="E95" s="3" t="s">
        <v>30</v>
      </c>
      <c r="F95" s="3" t="s">
        <v>31</v>
      </c>
    </row>
    <row r="96" spans="1:6">
      <c r="A96" s="4">
        <v>2019</v>
      </c>
      <c r="B96" s="5">
        <v>1.324594998645388</v>
      </c>
      <c r="C96" s="5">
        <v>3.147785527439869</v>
      </c>
      <c r="D96" s="5">
        <v>1.12785278566368</v>
      </c>
      <c r="E96" s="5">
        <v>0.5429976385415225</v>
      </c>
      <c r="F96" s="5">
        <v>6.143230950290459</v>
      </c>
    </row>
    <row r="97" spans="1:6">
      <c r="A97" s="7">
        <v>2020</v>
      </c>
      <c r="B97" s="8">
        <v>1.575070902068268</v>
      </c>
      <c r="C97" s="8">
        <v>4.096768614780984</v>
      </c>
      <c r="D97" s="8">
        <v>1.130087270076023</v>
      </c>
      <c r="E97" s="8">
        <v>0.6733219454495775</v>
      </c>
      <c r="F97" s="8">
        <v>7.475248732374853</v>
      </c>
    </row>
    <row r="98" spans="1:6">
      <c r="A98" s="4">
        <v>2021</v>
      </c>
      <c r="B98" s="5">
        <v>2.005186352595048</v>
      </c>
      <c r="C98" s="5">
        <v>5.28430467384639</v>
      </c>
      <c r="D98" s="5">
        <v>1.575078960817447</v>
      </c>
      <c r="E98" s="5">
        <v>0.8526638617297654</v>
      </c>
      <c r="F98" s="5">
        <v>9.71723384898865</v>
      </c>
    </row>
    <row r="99" spans="1:6">
      <c r="A99" s="7">
        <v>2022</v>
      </c>
      <c r="B99" s="8">
        <v>2.301121099912869</v>
      </c>
      <c r="C99" s="8">
        <v>5.821136024086629</v>
      </c>
      <c r="D99" s="8">
        <v>1.895125609390583</v>
      </c>
      <c r="E99" s="8">
        <v>0.9117410313969656</v>
      </c>
      <c r="F99" s="8">
        <v>10.92912376478705</v>
      </c>
    </row>
    <row r="100" spans="1:6">
      <c r="A100" s="4">
        <v>2023</v>
      </c>
      <c r="B100" s="5">
        <v>2.321245392805582</v>
      </c>
      <c r="C100" s="5">
        <v>5.883510672586325</v>
      </c>
      <c r="D100" s="5">
        <v>2.057836222684176</v>
      </c>
      <c r="E100" s="5">
        <v>0.8904019758053692</v>
      </c>
      <c r="F100" s="5">
        <v>11.15299426388145</v>
      </c>
    </row>
    <row r="101" spans="1:6">
      <c r="A101" s="7">
        <v>2024</v>
      </c>
      <c r="B101" s="8">
        <v>2.378954047803365</v>
      </c>
      <c r="C101" s="8">
        <v>5.994331143984113</v>
      </c>
      <c r="D101" s="8">
        <v>2.044810251854174</v>
      </c>
      <c r="E101" s="8">
        <v>0.896278034448752</v>
      </c>
      <c r="F101" s="8">
        <v>11.3143734780904</v>
      </c>
    </row>
    <row r="102" spans="1:6">
      <c r="A102" s="4">
        <v>2025</v>
      </c>
      <c r="B102" s="5">
        <v>2.578586315926084</v>
      </c>
      <c r="C102" s="5">
        <v>6.608590332049345</v>
      </c>
      <c r="D102" s="5">
        <v>2.229377127115252</v>
      </c>
      <c r="E102" s="5">
        <v>1.028490847888261</v>
      </c>
      <c r="F102" s="5">
        <v>12.44504462297894</v>
      </c>
    </row>
    <row r="104" spans="1:6">
      <c r="A104" s="11" t="s">
        <v>41</v>
      </c>
      <c r="B104" s="11"/>
      <c r="C104" s="11"/>
      <c r="D104" s="11"/>
      <c r="E104" s="11"/>
      <c r="F104" s="11"/>
    </row>
    <row r="105" spans="1:6" ht="30" customHeight="1">
      <c r="A105" s="3" t="s">
        <v>2</v>
      </c>
      <c r="B105" s="3" t="s">
        <v>27</v>
      </c>
      <c r="C105" s="3" t="s">
        <v>28</v>
      </c>
      <c r="D105" s="3" t="s">
        <v>29</v>
      </c>
      <c r="E105" s="3" t="s">
        <v>30</v>
      </c>
      <c r="F105" s="3" t="s">
        <v>31</v>
      </c>
    </row>
    <row r="106" spans="1:6">
      <c r="A106" s="4">
        <v>2019</v>
      </c>
      <c r="B106" s="6">
        <v>73.07804294595154</v>
      </c>
      <c r="C106" s="6">
        <v>46.38248018186753</v>
      </c>
      <c r="D106" s="6">
        <v>76.4963953027609</v>
      </c>
      <c r="E106" s="6">
        <v>85.91359735996986</v>
      </c>
      <c r="F106" s="6">
        <v>61.16137682289224</v>
      </c>
    </row>
    <row r="107" spans="1:6">
      <c r="A107" s="7">
        <v>2020</v>
      </c>
      <c r="B107" s="9">
        <v>75.22359678083568</v>
      </c>
      <c r="C107" s="9">
        <v>35.56899210291303</v>
      </c>
      <c r="D107" s="9">
        <v>78.32515220362232</v>
      </c>
      <c r="E107" s="9">
        <v>83.50393069463196</v>
      </c>
      <c r="F107" s="9">
        <v>54.70583389071735</v>
      </c>
    </row>
    <row r="108" spans="1:6">
      <c r="A108" s="4">
        <v>2021</v>
      </c>
      <c r="B108" s="6">
        <v>69.7646245637185</v>
      </c>
      <c r="C108" s="6">
        <v>30.96330948592908</v>
      </c>
      <c r="D108" s="6">
        <v>71.17537176943979</v>
      </c>
      <c r="E108" s="6">
        <v>72.33205443618928</v>
      </c>
      <c r="F108" s="6">
        <v>49.11813392427743</v>
      </c>
    </row>
    <row r="109" spans="1:6">
      <c r="A109" s="7">
        <v>2022</v>
      </c>
      <c r="B109" s="9">
        <v>68.92848404068867</v>
      </c>
      <c r="C109" s="9">
        <v>34.47096129476732</v>
      </c>
      <c r="D109" s="9">
        <v>68.21746930807524</v>
      </c>
      <c r="E109" s="9">
        <v>70.52227206669463</v>
      </c>
      <c r="F109" s="9">
        <v>50.58517751754725</v>
      </c>
    </row>
    <row r="110" spans="1:6">
      <c r="A110" s="4">
        <v>2023</v>
      </c>
      <c r="B110" s="6">
        <v>66.99896662785521</v>
      </c>
      <c r="C110" s="6">
        <v>27.51086570760798</v>
      </c>
      <c r="D110" s="6">
        <v>67.60483842215257</v>
      </c>
      <c r="E110" s="6">
        <v>69.22783287624429</v>
      </c>
      <c r="F110" s="6">
        <v>46.45764059934788</v>
      </c>
    </row>
    <row r="111" spans="1:6">
      <c r="A111" s="7">
        <v>2024</v>
      </c>
      <c r="B111" s="9">
        <v>64.7482021849758</v>
      </c>
      <c r="C111" s="9">
        <v>25.66231910348638</v>
      </c>
      <c r="D111" s="9">
        <v>65.11728539087557</v>
      </c>
      <c r="E111" s="9">
        <v>67.11924671993754</v>
      </c>
      <c r="F111" s="9">
        <v>44.2951115710752</v>
      </c>
    </row>
    <row r="112" spans="1:6">
      <c r="A112" s="4">
        <v>2025</v>
      </c>
      <c r="B112" s="6">
        <v>66.10017301896825</v>
      </c>
      <c r="C112" s="6">
        <v>28.84321979873848</v>
      </c>
      <c r="D112" s="6">
        <v>68.28614239611301</v>
      </c>
      <c r="E112" s="6">
        <v>72.04307776518155</v>
      </c>
      <c r="F112" s="6">
        <v>47.19864436175838</v>
      </c>
    </row>
    <row r="114" spans="1:6">
      <c r="A114" s="11" t="s">
        <v>42</v>
      </c>
      <c r="B114" s="11"/>
      <c r="C114" s="11"/>
      <c r="D114" s="11"/>
      <c r="E114" s="11"/>
      <c r="F114" s="11"/>
    </row>
    <row r="115" spans="1:6" ht="30" customHeight="1">
      <c r="A115" s="3" t="s">
        <v>2</v>
      </c>
      <c r="B115" s="3" t="s">
        <v>27</v>
      </c>
      <c r="C115" s="3" t="s">
        <v>28</v>
      </c>
      <c r="D115" s="3" t="s">
        <v>29</v>
      </c>
      <c r="E115" s="3" t="s">
        <v>30</v>
      </c>
      <c r="F115" s="3" t="s">
        <v>31</v>
      </c>
    </row>
    <row r="116" spans="1:6">
      <c r="A116" s="4">
        <v>2019</v>
      </c>
      <c r="B116" s="14"/>
      <c r="C116" s="14"/>
      <c r="D116" s="14"/>
      <c r="E116" s="14"/>
      <c r="F116" s="14"/>
    </row>
    <row r="117" spans="1:6">
      <c r="A117" s="7">
        <v>2020</v>
      </c>
      <c r="B117" s="15">
        <v>1.09433082007777</v>
      </c>
      <c r="C117" s="15">
        <v>1.563955909932136</v>
      </c>
      <c r="D117" s="15">
        <v>0.924019525845755</v>
      </c>
      <c r="E117" s="15">
        <v>1.452129015570981</v>
      </c>
      <c r="F117" s="15">
        <v>1.419081204800152</v>
      </c>
    </row>
    <row r="118" spans="1:6">
      <c r="A118" s="4">
        <v>2021</v>
      </c>
      <c r="B118" s="14">
        <v>1.553573258375167</v>
      </c>
      <c r="C118" s="14">
        <v>1.382074495481997</v>
      </c>
      <c r="D118" s="14">
        <v>1.853523112201255</v>
      </c>
      <c r="E118" s="14">
        <v>2.123985400190651</v>
      </c>
      <c r="F118" s="14">
        <v>1.460285484911559</v>
      </c>
    </row>
    <row r="119" spans="1:6">
      <c r="A119" s="7">
        <v>2022</v>
      </c>
      <c r="B119" s="15">
        <v>1.179320401432033</v>
      </c>
      <c r="C119" s="15">
        <v>1.045619637984234</v>
      </c>
      <c r="D119" s="15">
        <v>1.326662429825961</v>
      </c>
      <c r="E119" s="15">
        <v>1.139228226359372</v>
      </c>
      <c r="F119" s="15">
        <v>1.092287336746793</v>
      </c>
    </row>
    <row r="120" spans="1:6">
      <c r="A120" s="4">
        <v>2023</v>
      </c>
      <c r="B120" s="14">
        <v>1.071387750578407</v>
      </c>
      <c r="C120" s="14">
        <v>1.118067218113105</v>
      </c>
      <c r="D120" s="14">
        <v>1.106788103763078</v>
      </c>
      <c r="E120" s="14">
        <v>1.019479955513822</v>
      </c>
      <c r="F120" s="14">
        <v>1.10572314447337</v>
      </c>
    </row>
    <row r="121" spans="1:6">
      <c r="A121" s="7">
        <v>2024</v>
      </c>
      <c r="B121" s="15">
        <v>1.094759518125886</v>
      </c>
      <c r="C121" s="15">
        <v>1.044817120767287</v>
      </c>
      <c r="D121" s="15">
        <v>1.069971797723497</v>
      </c>
      <c r="E121" s="15">
        <v>1.075574046141105</v>
      </c>
      <c r="F121" s="15">
        <v>1.055443124994335</v>
      </c>
    </row>
    <row r="122" spans="1:6">
      <c r="A122" s="4">
        <v>2025</v>
      </c>
      <c r="B122" s="14">
        <v>1.042345825546504</v>
      </c>
      <c r="C122" s="14">
        <v>1.055298643098255</v>
      </c>
      <c r="D122" s="14">
        <v>0.9912183292005047</v>
      </c>
      <c r="E122" s="14">
        <v>0.9756752275236789</v>
      </c>
      <c r="F122" s="14">
        <v>1.04259997932627</v>
      </c>
    </row>
    <row r="124" spans="1:6">
      <c r="A124" s="11" t="s">
        <v>43</v>
      </c>
      <c r="B124" s="11"/>
      <c r="C124" s="11"/>
      <c r="D124" s="11"/>
      <c r="E124" s="11"/>
      <c r="F124" s="11"/>
    </row>
    <row r="125" spans="1:6" ht="30" customHeight="1">
      <c r="A125" s="3" t="s">
        <v>2</v>
      </c>
      <c r="B125" s="3" t="s">
        <v>27</v>
      </c>
      <c r="C125" s="3" t="s">
        <v>28</v>
      </c>
      <c r="D125" s="3" t="s">
        <v>29</v>
      </c>
      <c r="E125" s="3" t="s">
        <v>30</v>
      </c>
      <c r="F125" s="3" t="s">
        <v>31</v>
      </c>
    </row>
    <row r="126" spans="1:6">
      <c r="A126" s="4">
        <v>2019</v>
      </c>
      <c r="B126" s="14"/>
      <c r="C126" s="14"/>
      <c r="D126" s="14"/>
      <c r="E126" s="14"/>
      <c r="F126" s="14"/>
    </row>
    <row r="127" spans="1:6">
      <c r="A127" s="7">
        <v>2020</v>
      </c>
      <c r="B127" s="15">
        <v>1.189096217092041</v>
      </c>
      <c r="C127" s="15">
        <v>1.301476412248751</v>
      </c>
      <c r="D127" s="15">
        <v>1.001981184460194</v>
      </c>
      <c r="E127" s="15">
        <v>1.240008975468296</v>
      </c>
      <c r="F127" s="15">
        <v>1.216826909628298</v>
      </c>
    </row>
    <row r="128" spans="1:6">
      <c r="A128" s="4">
        <v>2021</v>
      </c>
      <c r="B128" s="14">
        <v>1.273076881784804</v>
      </c>
      <c r="C128" s="14">
        <v>1.289871401274854</v>
      </c>
      <c r="D128" s="14">
        <v>1.393767545679449</v>
      </c>
      <c r="E128" s="14">
        <v>1.266353885377137</v>
      </c>
      <c r="F128" s="14">
        <v>1.299921139333317</v>
      </c>
    </row>
    <row r="129" spans="1:8">
      <c r="A129" s="7">
        <v>2022</v>
      </c>
      <c r="B129" s="15">
        <v>1.147584660615125</v>
      </c>
      <c r="C129" s="15">
        <v>1.101589780183792</v>
      </c>
      <c r="D129" s="15">
        <v>1.203194034416557</v>
      </c>
      <c r="E129" s="15">
        <v>1.069285415177973</v>
      </c>
      <c r="F129" s="15">
        <v>1.124715524462193</v>
      </c>
    </row>
    <row r="130" spans="1:8">
      <c r="A130" s="4">
        <v>2023</v>
      </c>
      <c r="B130" s="14">
        <v>1.008745429735739</v>
      </c>
      <c r="C130" s="14">
        <v>1.010715202022698</v>
      </c>
      <c r="D130" s="14">
        <v>1.085857429442852</v>
      </c>
      <c r="E130" s="14">
        <v>0.9765952667953303</v>
      </c>
      <c r="F130" s="14">
        <v>1.020483847004799</v>
      </c>
    </row>
    <row r="131" spans="1:8">
      <c r="A131" s="7">
        <v>2024</v>
      </c>
      <c r="B131" s="15">
        <v>1.024861074652703</v>
      </c>
      <c r="C131" s="15">
        <v>1.018835772987401</v>
      </c>
      <c r="D131" s="15">
        <v>0.9936700643683821</v>
      </c>
      <c r="E131" s="15">
        <v>1.006599332439787</v>
      </c>
      <c r="F131" s="15">
        <v>1.014469586407981</v>
      </c>
    </row>
    <row r="132" spans="1:8">
      <c r="A132" s="4">
        <v>2025</v>
      </c>
      <c r="B132" s="14">
        <v>1.083915983289821</v>
      </c>
      <c r="C132" s="14">
        <v>1.102473349121144</v>
      </c>
      <c r="D132" s="14">
        <v>1.090261125741969</v>
      </c>
      <c r="E132" s="14">
        <v>1.147513169304462</v>
      </c>
      <c r="F132" s="14">
        <v>1.099932280570198</v>
      </c>
    </row>
    <row r="134" spans="1:8">
      <c r="A134" s="11" t="s">
        <v>44</v>
      </c>
      <c r="B134" s="11"/>
      <c r="C134" s="11"/>
      <c r="D134" s="11"/>
      <c r="E134" s="11"/>
    </row>
    <row r="135" spans="1:8" ht="54" customHeight="1">
      <c r="A135" s="10" t="s">
        <v>45</v>
      </c>
      <c r="B135" s="10"/>
      <c r="C135" s="10"/>
      <c r="D135" s="10"/>
      <c r="E135" s="10"/>
      <c r="F135" s="10"/>
      <c r="G135" s="10"/>
      <c r="H135" s="10"/>
    </row>
    <row r="136" spans="1:8" ht="30" customHeight="1">
      <c r="A136" s="3" t="s">
        <v>46</v>
      </c>
      <c r="B136" s="3" t="s">
        <v>47</v>
      </c>
      <c r="C136" s="3" t="s">
        <v>48</v>
      </c>
      <c r="D136" s="3" t="s">
        <v>7</v>
      </c>
      <c r="E136" s="3" t="s">
        <v>8</v>
      </c>
    </row>
    <row r="137" spans="1:8">
      <c r="A137" s="4" t="s">
        <v>49</v>
      </c>
      <c r="B137" s="16" t="s">
        <v>27</v>
      </c>
      <c r="C137" s="14">
        <v>1.117671055912567</v>
      </c>
      <c r="D137" s="14">
        <v>0.952206083681258</v>
      </c>
      <c r="E137" s="14">
        <v>1.267682022567911</v>
      </c>
    </row>
    <row r="138" spans="1:8">
      <c r="A138" s="7" t="s">
        <v>49</v>
      </c>
      <c r="B138" s="17" t="s">
        <v>28</v>
      </c>
      <c r="C138" s="15">
        <v>1.297226225061429</v>
      </c>
      <c r="D138" s="15">
        <v>1.119745425126907</v>
      </c>
      <c r="E138" s="15">
        <v>1.49475921278544</v>
      </c>
    </row>
    <row r="139" spans="1:8">
      <c r="A139" s="4" t="s">
        <v>49</v>
      </c>
      <c r="B139" s="16" t="s">
        <v>29</v>
      </c>
      <c r="C139" s="14">
        <v>1.012357315931372</v>
      </c>
      <c r="D139" s="14">
        <v>0.9526384570206344</v>
      </c>
      <c r="E139" s="14">
        <v>1.0805865430438</v>
      </c>
    </row>
    <row r="140" spans="1:8">
      <c r="A140" s="7" t="s">
        <v>49</v>
      </c>
      <c r="B140" s="17" t="s">
        <v>30</v>
      </c>
      <c r="C140" s="15">
        <v>1.207618746507061</v>
      </c>
      <c r="D140" s="15">
        <v>1.135553441891198</v>
      </c>
      <c r="E140" s="15">
        <v>1.273135550032516</v>
      </c>
    </row>
    <row r="141" spans="1:8">
      <c r="A141" s="4" t="s">
        <v>49</v>
      </c>
      <c r="B141" s="16" t="s">
        <v>50</v>
      </c>
      <c r="C141" s="14">
        <v>1.194610720973196</v>
      </c>
      <c r="D141" s="14">
        <v>1.104028688765614</v>
      </c>
      <c r="E141" s="14">
        <v>1.281792318205355</v>
      </c>
    </row>
    <row r="142" spans="1:8">
      <c r="A142" s="7" t="s">
        <v>51</v>
      </c>
      <c r="B142" s="17" t="s">
        <v>27</v>
      </c>
      <c r="C142" s="15">
        <v>1.403517047900119</v>
      </c>
      <c r="D142" s="15">
        <v>1.236761741387478</v>
      </c>
      <c r="E142" s="15">
        <v>1.603099111049632</v>
      </c>
    </row>
    <row r="143" spans="1:8">
      <c r="A143" s="4" t="s">
        <v>51</v>
      </c>
      <c r="B143" s="16" t="s">
        <v>28</v>
      </c>
      <c r="C143" s="14">
        <v>1.339311737568203</v>
      </c>
      <c r="D143" s="14">
        <v>1.259353092644742</v>
      </c>
      <c r="E143" s="14">
        <v>1.474256720268008</v>
      </c>
    </row>
    <row r="144" spans="1:8">
      <c r="A144" s="7" t="s">
        <v>51</v>
      </c>
      <c r="B144" s="17" t="s">
        <v>29</v>
      </c>
      <c r="C144" s="15">
        <v>1.361935529021262</v>
      </c>
      <c r="D144" s="15">
        <v>1.281737532437704</v>
      </c>
      <c r="E144" s="15">
        <v>1.449230826987454</v>
      </c>
    </row>
    <row r="145" spans="1:5">
      <c r="A145" s="4" t="s">
        <v>51</v>
      </c>
      <c r="B145" s="16" t="s">
        <v>30</v>
      </c>
      <c r="C145" s="14">
        <v>1.331122047790185</v>
      </c>
      <c r="D145" s="14">
        <v>1.258269166619449</v>
      </c>
      <c r="E145" s="14">
        <v>1.415354840106315</v>
      </c>
    </row>
    <row r="146" spans="1:5">
      <c r="A146" s="7" t="s">
        <v>51</v>
      </c>
      <c r="B146" s="17" t="s">
        <v>50</v>
      </c>
      <c r="C146" s="15">
        <v>1.358798644866169</v>
      </c>
      <c r="D146" s="15">
        <v>1.295356262925525</v>
      </c>
      <c r="E146" s="15">
        <v>1.440204280371843</v>
      </c>
    </row>
    <row r="147" spans="1:5">
      <c r="A147" s="4" t="s">
        <v>52</v>
      </c>
      <c r="B147" s="16" t="s">
        <v>27</v>
      </c>
      <c r="C147" s="14">
        <v>1.126138800748371</v>
      </c>
      <c r="D147" s="14">
        <v>1.062574455608625</v>
      </c>
      <c r="E147" s="14">
        <v>1.197764187383808</v>
      </c>
    </row>
    <row r="148" spans="1:5">
      <c r="A148" s="7" t="s">
        <v>52</v>
      </c>
      <c r="B148" s="17" t="s">
        <v>28</v>
      </c>
      <c r="C148" s="15">
        <v>1.119407424933683</v>
      </c>
      <c r="D148" s="15">
        <v>1.058077950092023</v>
      </c>
      <c r="E148" s="15">
        <v>1.18711297943352</v>
      </c>
    </row>
    <row r="149" spans="1:5">
      <c r="A149" s="4" t="s">
        <v>52</v>
      </c>
      <c r="B149" s="16" t="s">
        <v>29</v>
      </c>
      <c r="C149" s="14">
        <v>1.226253484421619</v>
      </c>
      <c r="D149" s="14">
        <v>1.169961540295034</v>
      </c>
      <c r="E149" s="14">
        <v>1.2867996977223</v>
      </c>
    </row>
    <row r="150" spans="1:5">
      <c r="A150" s="7" t="s">
        <v>52</v>
      </c>
      <c r="B150" s="17" t="s">
        <v>30</v>
      </c>
      <c r="C150" s="15">
        <v>1.11876226736184</v>
      </c>
      <c r="D150" s="15">
        <v>1.068659250516014</v>
      </c>
      <c r="E150" s="15">
        <v>1.178227083395066</v>
      </c>
    </row>
    <row r="151" spans="1:5">
      <c r="A151" s="4" t="s">
        <v>52</v>
      </c>
      <c r="B151" s="16" t="s">
        <v>50</v>
      </c>
      <c r="C151" s="14">
        <v>1.138146903391974</v>
      </c>
      <c r="D151" s="14">
        <v>1.097535557942552</v>
      </c>
      <c r="E151" s="14">
        <v>1.17925031987325</v>
      </c>
    </row>
    <row r="152" spans="1:5">
      <c r="A152" s="7" t="s">
        <v>53</v>
      </c>
      <c r="B152" s="17" t="s">
        <v>27</v>
      </c>
      <c r="C152" s="15">
        <v>1.04346019988309</v>
      </c>
      <c r="D152" s="15">
        <v>1.000983287257767</v>
      </c>
      <c r="E152" s="15">
        <v>1.085955536016939</v>
      </c>
    </row>
    <row r="153" spans="1:5">
      <c r="A153" s="4" t="s">
        <v>53</v>
      </c>
      <c r="B153" s="16" t="s">
        <v>28</v>
      </c>
      <c r="C153" s="14">
        <v>1.060853687301299</v>
      </c>
      <c r="D153" s="14">
        <v>1.026447334446131</v>
      </c>
      <c r="E153" s="14">
        <v>1.087500938181222</v>
      </c>
    </row>
    <row r="154" spans="1:5">
      <c r="A154" s="7" t="s">
        <v>53</v>
      </c>
      <c r="B154" s="17" t="s">
        <v>29</v>
      </c>
      <c r="C154" s="15">
        <v>1.079386821664548</v>
      </c>
      <c r="D154" s="15">
        <v>1.038767683128962</v>
      </c>
      <c r="E154" s="15">
        <v>1.123848371281999</v>
      </c>
    </row>
    <row r="155" spans="1:5">
      <c r="A155" s="4" t="s">
        <v>53</v>
      </c>
      <c r="B155" s="16" t="s">
        <v>30</v>
      </c>
      <c r="C155" s="14">
        <v>1.000249238321556</v>
      </c>
      <c r="D155" s="14">
        <v>0.9666395094478274</v>
      </c>
      <c r="E155" s="14">
        <v>1.032632941428767</v>
      </c>
    </row>
    <row r="156" spans="1:5">
      <c r="A156" s="7" t="s">
        <v>53</v>
      </c>
      <c r="B156" s="17" t="s">
        <v>50</v>
      </c>
      <c r="C156" s="15">
        <v>1.055634788575001</v>
      </c>
      <c r="D156" s="15">
        <v>1.034570497555851</v>
      </c>
      <c r="E156" s="15">
        <v>1.07410411323853</v>
      </c>
    </row>
    <row r="157" spans="1:5">
      <c r="A157" s="4" t="s">
        <v>54</v>
      </c>
      <c r="B157" s="16" t="s">
        <v>27</v>
      </c>
      <c r="C157" s="14">
        <v>1.050611787296502</v>
      </c>
      <c r="D157" s="14">
        <v>0.9858400221108914</v>
      </c>
      <c r="E157" s="14">
        <v>1.139120010998574</v>
      </c>
    </row>
    <row r="158" spans="1:5">
      <c r="A158" s="7" t="s">
        <v>54</v>
      </c>
      <c r="B158" s="17" t="s">
        <v>28</v>
      </c>
      <c r="C158" s="15">
        <v>1.050620145680933</v>
      </c>
      <c r="D158" s="15">
        <v>1.029859683040409</v>
      </c>
      <c r="E158" s="15">
        <v>1.076443709728159</v>
      </c>
    </row>
    <row r="159" spans="1:5">
      <c r="A159" s="4" t="s">
        <v>54</v>
      </c>
      <c r="B159" s="16" t="s">
        <v>29</v>
      </c>
      <c r="C159" s="14">
        <v>1.004618441321043</v>
      </c>
      <c r="D159" s="14">
        <v>0.9667067187751081</v>
      </c>
      <c r="E159" s="14">
        <v>1.051394368571733</v>
      </c>
    </row>
    <row r="160" spans="1:5">
      <c r="A160" s="7" t="s">
        <v>54</v>
      </c>
      <c r="B160" s="17" t="s">
        <v>30</v>
      </c>
      <c r="C160" s="15">
        <v>1.031943327321382</v>
      </c>
      <c r="D160" s="15">
        <v>0.9979134443536281</v>
      </c>
      <c r="E160" s="15">
        <v>1.066133645387706</v>
      </c>
    </row>
    <row r="161" spans="1:5">
      <c r="A161" s="4" t="s">
        <v>54</v>
      </c>
      <c r="B161" s="16" t="s">
        <v>50</v>
      </c>
      <c r="C161" s="14">
        <v>1.04099552007074</v>
      </c>
      <c r="D161" s="14">
        <v>1.02128360849713</v>
      </c>
      <c r="E161" s="14">
        <v>1.064984189441619</v>
      </c>
    </row>
    <row r="162" spans="1:5">
      <c r="A162" s="7" t="s">
        <v>55</v>
      </c>
      <c r="B162" s="17" t="s">
        <v>27</v>
      </c>
      <c r="C162" s="15">
        <v>1.076299371900937</v>
      </c>
      <c r="D162" s="15">
        <v>1.002251882432751</v>
      </c>
      <c r="E162" s="15">
        <v>1.142274760090082</v>
      </c>
    </row>
    <row r="163" spans="1:5">
      <c r="A163" s="4" t="s">
        <v>55</v>
      </c>
      <c r="B163" s="16" t="s">
        <v>28</v>
      </c>
      <c r="C163" s="14">
        <v>1.089885627011721</v>
      </c>
      <c r="D163" s="14">
        <v>1.0651294099656</v>
      </c>
      <c r="E163" s="14">
        <v>1.121212041248674</v>
      </c>
    </row>
    <row r="164" spans="1:5">
      <c r="A164" s="7" t="s">
        <v>55</v>
      </c>
      <c r="B164" s="17" t="s">
        <v>29</v>
      </c>
      <c r="C164" s="15">
        <v>1.069598757718217</v>
      </c>
      <c r="D164" s="15">
        <v>1.014538527860735</v>
      </c>
      <c r="E164" s="15">
        <v>1.112744466343172</v>
      </c>
    </row>
    <row r="165" spans="1:5">
      <c r="A165" s="4" t="s">
        <v>55</v>
      </c>
      <c r="B165" s="16" t="s">
        <v>30</v>
      </c>
      <c r="C165" s="14">
        <v>1.124380069585163</v>
      </c>
      <c r="D165" s="14">
        <v>1.082977023243612</v>
      </c>
      <c r="E165" s="14">
        <v>1.169846916958176</v>
      </c>
    </row>
    <row r="166" spans="1:5">
      <c r="A166" s="7" t="s">
        <v>55</v>
      </c>
      <c r="B166" s="17" t="s">
        <v>50</v>
      </c>
      <c r="C166" s="15">
        <v>1.085141575053484</v>
      </c>
      <c r="D166" s="15">
        <v>1.06250660657693</v>
      </c>
      <c r="E166" s="15">
        <v>1.107864474544979</v>
      </c>
    </row>
    <row r="167" spans="1:5">
      <c r="A167" s="4" t="s">
        <v>56</v>
      </c>
      <c r="B167" s="16" t="s">
        <v>27</v>
      </c>
      <c r="C167" s="14">
        <v>1.933867060693213</v>
      </c>
      <c r="D167" s="14">
        <v>1.559092848347872</v>
      </c>
      <c r="E167" s="14">
        <v>2.378857538259662</v>
      </c>
    </row>
    <row r="168" spans="1:5">
      <c r="A168" s="7" t="s">
        <v>56</v>
      </c>
      <c r="B168" s="17" t="s">
        <v>28</v>
      </c>
      <c r="C168" s="15">
        <v>2.271118819772401</v>
      </c>
      <c r="D168" s="15">
        <v>1.91669287837841</v>
      </c>
      <c r="E168" s="15">
        <v>2.656691148635654</v>
      </c>
    </row>
    <row r="169" spans="1:5">
      <c r="A169" s="4" t="s">
        <v>56</v>
      </c>
      <c r="B169" s="16" t="s">
        <v>29</v>
      </c>
      <c r="C169" s="14">
        <v>1.867505432222356</v>
      </c>
      <c r="D169" s="14">
        <v>1.733120778033944</v>
      </c>
      <c r="E169" s="14">
        <v>2.022950326466967</v>
      </c>
    </row>
    <row r="170" spans="1:5">
      <c r="A170" s="7" t="s">
        <v>56</v>
      </c>
      <c r="B170" s="17" t="s">
        <v>30</v>
      </c>
      <c r="C170" s="15">
        <v>2.05860562175627</v>
      </c>
      <c r="D170" s="15">
        <v>1.870745065174091</v>
      </c>
      <c r="E170" s="15">
        <v>2.241684849549974</v>
      </c>
    </row>
    <row r="171" spans="1:5">
      <c r="A171" s="4" t="s">
        <v>56</v>
      </c>
      <c r="B171" s="16" t="s">
        <v>50</v>
      </c>
      <c r="C171" s="14">
        <v>2.101965505709552</v>
      </c>
      <c r="D171" s="14">
        <v>1.909011037156334</v>
      </c>
      <c r="E171" s="14">
        <v>2.296289746023188</v>
      </c>
    </row>
  </sheetData>
  <mergeCells count="17">
    <mergeCell ref="A1:I1"/>
    <mergeCell ref="A2:I2"/>
    <mergeCell ref="A4:F4"/>
    <mergeCell ref="A14:F14"/>
    <mergeCell ref="A24:F24"/>
    <mergeCell ref="A34:F34"/>
    <mergeCell ref="A44:F44"/>
    <mergeCell ref="A54:F54"/>
    <mergeCell ref="A64:F64"/>
    <mergeCell ref="A74:E74"/>
    <mergeCell ref="A84:F84"/>
    <mergeCell ref="A94:F94"/>
    <mergeCell ref="A104:F104"/>
    <mergeCell ref="A114:F114"/>
    <mergeCell ref="A124:F124"/>
    <mergeCell ref="A134:E134"/>
    <mergeCell ref="A135:H1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78D6"/>
  </sheetPr>
  <dimension ref="A1:J11"/>
  <sheetViews>
    <sheetView showGridLines="0" zoomScale="90" zoomScaleNormal="90" workbookViewId="0"/>
  </sheetViews>
  <sheetFormatPr defaultRowHeight="15"/>
  <cols>
    <col min="1" max="1" width="9.7109375" customWidth="1"/>
    <col min="2" max="7" width="18.7109375" customWidth="1"/>
  </cols>
  <sheetData>
    <row r="1" spans="1:10" ht="30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3" t="s">
        <v>2</v>
      </c>
      <c r="B4" s="3" t="s">
        <v>3</v>
      </c>
      <c r="C4" s="3" t="s">
        <v>59</v>
      </c>
      <c r="D4" s="3" t="s">
        <v>6</v>
      </c>
      <c r="E4" s="3" t="s">
        <v>7</v>
      </c>
      <c r="F4" s="3" t="s">
        <v>8</v>
      </c>
      <c r="G4" s="3" t="s">
        <v>9</v>
      </c>
    </row>
    <row r="5" spans="1:10">
      <c r="A5" s="4">
        <v>2019</v>
      </c>
      <c r="B5" s="5">
        <v>2.385946319682768</v>
      </c>
      <c r="C5" s="5">
        <v>6.143230950290459</v>
      </c>
      <c r="D5" s="5">
        <v>6.178380717922481</v>
      </c>
      <c r="E5" s="5">
        <v>5.208298603557914</v>
      </c>
      <c r="F5" s="5">
        <v>7.391814331570854</v>
      </c>
      <c r="G5" s="6">
        <v>35.34122980927535</v>
      </c>
    </row>
    <row r="6" spans="1:10">
      <c r="A6" s="7">
        <v>2020</v>
      </c>
      <c r="B6" s="8">
        <v>3.385851577923911</v>
      </c>
      <c r="C6" s="8">
        <v>7.475248732374852</v>
      </c>
      <c r="D6" s="8">
        <v>7.573981689278407</v>
      </c>
      <c r="E6" s="8">
        <v>7.023413906589061</v>
      </c>
      <c r="F6" s="8">
        <v>8.663725449616447</v>
      </c>
      <c r="G6" s="9">
        <v>21.65718918160816</v>
      </c>
    </row>
    <row r="7" spans="1:10">
      <c r="A7" s="4">
        <v>2021</v>
      </c>
      <c r="B7" s="5">
        <v>4.944309913307186</v>
      </c>
      <c r="C7" s="5">
        <v>9.717233848988649</v>
      </c>
      <c r="D7" s="5">
        <v>9.7940526139999</v>
      </c>
      <c r="E7" s="5">
        <v>9.180969618837898</v>
      </c>
      <c r="F7" s="5">
        <v>10.71345398083989</v>
      </c>
      <c r="G7" s="6">
        <v>15.64709137677508</v>
      </c>
    </row>
    <row r="8" spans="1:10">
      <c r="A8" s="7">
        <v>2022</v>
      </c>
      <c r="B8" s="8">
        <v>5.400607107257074</v>
      </c>
      <c r="C8" s="8">
        <v>10.92912376478705</v>
      </c>
      <c r="D8" s="8">
        <v>10.91984703212976</v>
      </c>
      <c r="E8" s="8">
        <v>10.26577036110575</v>
      </c>
      <c r="F8" s="8">
        <v>11.73754053635351</v>
      </c>
      <c r="G8" s="9">
        <v>13.47793765716072</v>
      </c>
    </row>
    <row r="9" spans="1:10">
      <c r="A9" s="4">
        <v>2023</v>
      </c>
      <c r="B9" s="5">
        <v>5.971576272701522</v>
      </c>
      <c r="C9" s="5">
        <v>11.15299426388145</v>
      </c>
      <c r="D9" s="5">
        <v>11.1571945785335</v>
      </c>
      <c r="E9" s="5">
        <v>10.60169633098008</v>
      </c>
      <c r="F9" s="5">
        <v>11.70396407671071</v>
      </c>
      <c r="G9" s="6">
        <v>9.879434637192739</v>
      </c>
    </row>
    <row r="10" spans="1:10">
      <c r="A10" s="7">
        <v>2024</v>
      </c>
      <c r="B10" s="8">
        <v>6.302659122402119</v>
      </c>
      <c r="C10" s="8">
        <v>11.3143734780904</v>
      </c>
      <c r="D10" s="8">
        <v>11.34807196445059</v>
      </c>
      <c r="E10" s="8">
        <v>10.81855250490918</v>
      </c>
      <c r="F10" s="8">
        <v>11.95654538170848</v>
      </c>
      <c r="G10" s="9">
        <v>10.02807243701143</v>
      </c>
    </row>
    <row r="11" spans="1:10">
      <c r="A11" s="4">
        <v>2025</v>
      </c>
      <c r="B11" s="5">
        <v>6.57115227071698</v>
      </c>
      <c r="C11" s="5">
        <v>12.44504462297894</v>
      </c>
      <c r="D11" s="5">
        <v>12.50364684742553</v>
      </c>
      <c r="E11" s="5">
        <v>11.83562224958137</v>
      </c>
      <c r="F11" s="5">
        <v>13.32906582604597</v>
      </c>
      <c r="G11" s="6">
        <v>11.94406395740534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3AA7"/>
  </sheetPr>
  <dimension ref="A1:J11"/>
  <sheetViews>
    <sheetView showGridLines="0" zoomScale="90" zoomScaleNormal="90" workbookViewId="0"/>
  </sheetViews>
  <sheetFormatPr defaultRowHeight="15"/>
  <cols>
    <col min="1" max="1" width="9.7109375" customWidth="1"/>
    <col min="2" max="7" width="18.7109375" customWidth="1"/>
  </cols>
  <sheetData>
    <row r="1" spans="1:10" ht="30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3" t="s">
        <v>2</v>
      </c>
      <c r="B4" s="3" t="s">
        <v>3</v>
      </c>
      <c r="C4" s="3" t="s">
        <v>59</v>
      </c>
      <c r="D4" s="3" t="s">
        <v>6</v>
      </c>
      <c r="E4" s="3" t="s">
        <v>7</v>
      </c>
      <c r="F4" s="3" t="s">
        <v>8</v>
      </c>
      <c r="G4" s="3" t="s">
        <v>9</v>
      </c>
    </row>
    <row r="5" spans="1:10">
      <c r="A5" s="4">
        <v>2019</v>
      </c>
      <c r="B5" s="5">
        <v>2.116611924380963</v>
      </c>
      <c r="C5" s="5">
        <v>6.368498772724185</v>
      </c>
      <c r="D5" s="5">
        <v>6.414624956011101</v>
      </c>
      <c r="E5" s="5">
        <v>5.318314535935588</v>
      </c>
      <c r="F5" s="5">
        <v>7.965806011537956</v>
      </c>
      <c r="G5" s="6">
        <v>41.27273993035902</v>
      </c>
    </row>
    <row r="6" spans="1:10">
      <c r="A6" s="7">
        <v>2020</v>
      </c>
      <c r="B6" s="8">
        <v>2.162912091948343</v>
      </c>
      <c r="C6" s="8">
        <v>7.072335823816909</v>
      </c>
      <c r="D6" s="8">
        <v>7.192078680238869</v>
      </c>
      <c r="E6" s="8">
        <v>6.127251718810293</v>
      </c>
      <c r="F6" s="8">
        <v>8.934792828135871</v>
      </c>
      <c r="G6" s="9">
        <v>39.03657390511656</v>
      </c>
    </row>
    <row r="7" spans="1:10">
      <c r="A7" s="4">
        <v>2021</v>
      </c>
      <c r="B7" s="5">
        <v>2.569605977582302</v>
      </c>
      <c r="C7" s="5">
        <v>8.721683302534933</v>
      </c>
      <c r="D7" s="5">
        <v>8.77034509748378</v>
      </c>
      <c r="E7" s="5">
        <v>7.446444887635611</v>
      </c>
      <c r="F7" s="5">
        <v>11.05740815966242</v>
      </c>
      <c r="G7" s="6">
        <v>41.17241946457494</v>
      </c>
    </row>
    <row r="8" spans="1:10">
      <c r="A8" s="7">
        <v>2022</v>
      </c>
      <c r="B8" s="8">
        <v>2.945787518021201</v>
      </c>
      <c r="C8" s="8">
        <v>10.21860788742608</v>
      </c>
      <c r="D8" s="8">
        <v>10.50429174769758</v>
      </c>
      <c r="E8" s="8">
        <v>8.65695811689565</v>
      </c>
      <c r="F8" s="8">
        <v>12.9431131228473</v>
      </c>
      <c r="G8" s="9">
        <v>40.80384578894744</v>
      </c>
    </row>
    <row r="9" spans="1:10">
      <c r="A9" s="4">
        <v>2023</v>
      </c>
      <c r="B9" s="5">
        <v>3.035374919505082</v>
      </c>
      <c r="C9" s="5">
        <v>10.78081245389279</v>
      </c>
      <c r="D9" s="5">
        <v>11.05476602500271</v>
      </c>
      <c r="E9" s="5">
        <v>9.240434271191209</v>
      </c>
      <c r="F9" s="5">
        <v>13.74080490631374</v>
      </c>
      <c r="G9" s="6">
        <v>40.70977734801433</v>
      </c>
    </row>
    <row r="10" spans="1:10">
      <c r="A10" s="7">
        <v>2024</v>
      </c>
      <c r="B10" s="8">
        <v>3.227292070600828</v>
      </c>
      <c r="C10" s="8">
        <v>11.73472753606105</v>
      </c>
      <c r="D10" s="8">
        <v>11.78319668453171</v>
      </c>
      <c r="E10" s="8">
        <v>9.49491945667322</v>
      </c>
      <c r="F10" s="8">
        <v>14.59403780036922</v>
      </c>
      <c r="G10" s="9">
        <v>43.27449061755726</v>
      </c>
    </row>
    <row r="11" spans="1:10">
      <c r="A11" s="4">
        <v>2025</v>
      </c>
      <c r="B11" s="5">
        <v>3.439845395847497</v>
      </c>
      <c r="C11" s="5">
        <v>12.82965660557703</v>
      </c>
      <c r="D11" s="5">
        <v>12.96772449782743</v>
      </c>
      <c r="E11" s="5">
        <v>10.5238669995191</v>
      </c>
      <c r="F11" s="5">
        <v>16.27282148807697</v>
      </c>
      <c r="G11" s="6">
        <v>44.33279323231324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BAF7A"/>
  </sheetPr>
  <dimension ref="A1:J11"/>
  <sheetViews>
    <sheetView showGridLines="0" zoomScale="90" zoomScaleNormal="90" workbookViewId="0"/>
  </sheetViews>
  <sheetFormatPr defaultRowHeight="15"/>
  <cols>
    <col min="1" max="1" width="9.7109375" customWidth="1"/>
    <col min="2" max="4" width="15.7109375" customWidth="1"/>
    <col min="5" max="5" width="24.7109375" customWidth="1"/>
    <col min="6" max="6" width="16.7109375" customWidth="1"/>
  </cols>
  <sheetData>
    <row r="1" spans="1:10" ht="30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</row>
    <row r="4" spans="1:10" ht="30" customHeight="1">
      <c r="A4" s="3" t="s">
        <v>46</v>
      </c>
      <c r="B4" s="3" t="s">
        <v>48</v>
      </c>
      <c r="C4" s="3" t="s">
        <v>7</v>
      </c>
      <c r="D4" s="3" t="s">
        <v>8</v>
      </c>
      <c r="E4" s="3" t="s">
        <v>63</v>
      </c>
      <c r="F4" s="3" t="s">
        <v>64</v>
      </c>
    </row>
    <row r="5" spans="1:10">
      <c r="A5" s="4" t="s">
        <v>49</v>
      </c>
      <c r="B5" s="14">
        <v>1.194610720973196</v>
      </c>
      <c r="C5" s="14">
        <v>1.104028688765614</v>
      </c>
      <c r="D5" s="14">
        <v>1.281792318205355</v>
      </c>
      <c r="E5" s="18">
        <v>0</v>
      </c>
      <c r="F5" s="16" t="s">
        <v>65</v>
      </c>
    </row>
    <row r="6" spans="1:10">
      <c r="A6" s="7" t="s">
        <v>51</v>
      </c>
      <c r="B6" s="15">
        <v>1.358798644866169</v>
      </c>
      <c r="C6" s="15">
        <v>1.295356262925525</v>
      </c>
      <c r="D6" s="15">
        <v>1.440204280371843</v>
      </c>
      <c r="E6" s="19">
        <v>0</v>
      </c>
      <c r="F6" s="17" t="s">
        <v>65</v>
      </c>
    </row>
    <row r="7" spans="1:10">
      <c r="A7" s="4" t="s">
        <v>52</v>
      </c>
      <c r="B7" s="14">
        <v>1.138146903391974</v>
      </c>
      <c r="C7" s="14">
        <v>1.097535557942552</v>
      </c>
      <c r="D7" s="14">
        <v>1.17925031987325</v>
      </c>
      <c r="E7" s="18">
        <v>0</v>
      </c>
      <c r="F7" s="16" t="s">
        <v>65</v>
      </c>
    </row>
    <row r="8" spans="1:10">
      <c r="A8" s="7" t="s">
        <v>53</v>
      </c>
      <c r="B8" s="15">
        <v>1.055634788575001</v>
      </c>
      <c r="C8" s="15">
        <v>1.034570497555851</v>
      </c>
      <c r="D8" s="15">
        <v>1.07410411323853</v>
      </c>
      <c r="E8" s="19">
        <v>0</v>
      </c>
      <c r="F8" s="17" t="s">
        <v>65</v>
      </c>
    </row>
    <row r="9" spans="1:10">
      <c r="A9" s="4" t="s">
        <v>54</v>
      </c>
      <c r="B9" s="14">
        <v>1.04099552007074</v>
      </c>
      <c r="C9" s="14">
        <v>1.02128360849713</v>
      </c>
      <c r="D9" s="14">
        <v>1.064984189441619</v>
      </c>
      <c r="E9" s="18">
        <v>0</v>
      </c>
      <c r="F9" s="16" t="s">
        <v>65</v>
      </c>
    </row>
    <row r="10" spans="1:10">
      <c r="A10" s="7" t="s">
        <v>55</v>
      </c>
      <c r="B10" s="15">
        <v>1.085141575053484</v>
      </c>
      <c r="C10" s="15">
        <v>1.06250660657693</v>
      </c>
      <c r="D10" s="15">
        <v>1.107864474544979</v>
      </c>
      <c r="E10" s="19">
        <v>0</v>
      </c>
      <c r="F10" s="17" t="s">
        <v>65</v>
      </c>
    </row>
    <row r="11" spans="1:10">
      <c r="A11" s="4" t="s">
        <v>56</v>
      </c>
      <c r="B11" s="14">
        <v>2.101965505709552</v>
      </c>
      <c r="C11" s="14">
        <v>1.909011037156334</v>
      </c>
      <c r="D11" s="14">
        <v>2.296289746023188</v>
      </c>
      <c r="E11" s="18">
        <v>0</v>
      </c>
      <c r="F11" s="16" t="s">
        <v>65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Résumé</vt:lpstr>
      <vt:lpstr>Indicateurs de base</vt:lpstr>
      <vt:lpstr>Détail par cluster</vt:lpstr>
      <vt:lpstr>Intervalle de confiance</vt:lpstr>
      <vt:lpstr>IC BKT mini</vt:lpstr>
      <vt:lpstr>Test de croissance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VV6</dc:creator>
  <dc:description>Généré par le pipeline BKT</dc:description>
  <cp:lastModifiedBy>VV6</cp:lastModifiedBy>
  <dcterms:created xsi:type="dcterms:W3CDTF">2026-09-25T14:28:24Z</dcterms:created>
  <dcterms:modified xsi:type="dcterms:W3CDTF">2026-09-25T14:28:24Z</dcterms:modified>
</cp:coreProperties>
</file>